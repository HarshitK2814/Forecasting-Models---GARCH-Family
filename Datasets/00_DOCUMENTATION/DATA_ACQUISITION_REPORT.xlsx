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Index_Universe" sheetId="2" r:id="rId2"/>
    <sheet name="Sources_and_Links" sheetId="3" r:id="rId3"/>
    <sheet name="Not_Downloaded" sheetId="4" r:id="rId4"/>
    <sheet name="Intraday_Status" sheetId="5" r:id="rId5"/>
    <sheet name="Daily_Files" sheetId="6" r:id="rId6"/>
    <sheet name="Volatility_Files" sheetId="7" r:id="rId7"/>
    <sheet name="Intraday_5min_Files" sheetId="8" r:id="rId8"/>
    <sheet name="Intraday_1min_Files" sheetId="9" r:id="rId9"/>
    <sheet name="RV_Files" sheetId="10" r:id="rId10"/>
    <sheet name="Macro_Files" sheetId="11" r:id="rId11"/>
    <sheet name="Panel_Files" sheetId="12" r:id="rId12"/>
    <sheet name="Data_Dictionary" sheetId="13" r:id="rId13"/>
    <sheet name="Panel_Notes" sheetId="14" r:id="rId14"/>
    <sheet name="Panel_Dictionary" sheetId="15" r:id="rId15"/>
    <sheet name="Derived_Variables" sheetId="16" r:id="rId16"/>
    <sheet name="Validation" sheetId="17" r:id="rId17"/>
    <sheet name="CFD_vs_Index" sheetId="18" r:id="rId18"/>
    <sheet name="Frozen_Sessions_Dropped" sheetId="19" r:id="rId19"/>
    <sheet name="Risks_and_Gotchas" sheetId="20" r:id="rId20"/>
    <sheet name="Libraries" sheetId="21" r:id="rId21"/>
    <sheet name="Collection_Plan" sheetId="22" r:id="rId22"/>
    <sheet name="Manifest_Daily" sheetId="23" r:id="rId23"/>
    <sheet name="Manifest_Volatility" sheetId="24" r:id="rId24"/>
    <sheet name="Manifest_Intraday_DL" sheetId="25" r:id="rId25"/>
    <sheet name="Manifest_RV" sheetId="26" r:id="rId26"/>
    <sheet name="Manifest_Macro" sheetId="27" r:id="rId27"/>
    <sheet name="Manifest_Panel" sheetId="28" r:id="rId28"/>
  </sheets>
  <definedNames>
    <definedName name="_xlnm._FilterDatabase" localSheetId="17" hidden="1">CFD_vs_Index!$A$1:$P$7</definedName>
    <definedName name="_xlnm._FilterDatabase" localSheetId="21" hidden="1">Collection_Plan!$A$1:$E$11</definedName>
    <definedName name="_xlnm._FilterDatabase" localSheetId="5" hidden="1">Daily_Files!$A$1:$F$7</definedName>
    <definedName name="_xlnm._FilterDatabase" localSheetId="12" hidden="1">Data_Dictionary!$A$1:$D$26</definedName>
    <definedName name="_xlnm._FilterDatabase" localSheetId="15" hidden="1">Derived_Variables!$A$1:$E$11</definedName>
    <definedName name="_xlnm._FilterDatabase" localSheetId="18" hidden="1">Frozen_Sessions_Dropped!$A$1:$E$16</definedName>
    <definedName name="_xlnm._FilterDatabase" localSheetId="1" hidden="1">Index_Universe!$A$1:$L$7</definedName>
    <definedName name="_xlnm._FilterDatabase" localSheetId="8" hidden="1">Intraday_1min_Files!$A$1:$F$95</definedName>
    <definedName name="_xlnm._FilterDatabase" localSheetId="7" hidden="1">Intraday_5min_Files!$A$1:$F$95</definedName>
    <definedName name="_xlnm._FilterDatabase" localSheetId="4" hidden="1">Intraday_Status!$A$1:$N$7</definedName>
    <definedName name="_xlnm._FilterDatabase" localSheetId="20" hidden="1">Libraries!$A$1:$D$12</definedName>
    <definedName name="_xlnm._FilterDatabase" localSheetId="10" hidden="1">Macro_Files!$A$1:$F$23</definedName>
    <definedName name="_xlnm._FilterDatabase" localSheetId="22" hidden="1">Manifest_Daily!$A$1:$M$7</definedName>
    <definedName name="_xlnm._FilterDatabase" localSheetId="24" hidden="1">Manifest_Intraday_DL!$A$1:$G$2</definedName>
    <definedName name="_xlnm._FilterDatabase" localSheetId="26" hidden="1">Manifest_Macro!$A$1:$R$23</definedName>
    <definedName name="_xlnm._FilterDatabase" localSheetId="27" hidden="1">Manifest_Panel!$A$1:$K$7</definedName>
    <definedName name="_xlnm._FilterDatabase" localSheetId="25" hidden="1">Manifest_RV!$A$1:$F$7</definedName>
    <definedName name="_xlnm._FilterDatabase" localSheetId="23" hidden="1">Manifest_Volatility!$A$1:$L$18</definedName>
    <definedName name="_xlnm._FilterDatabase" localSheetId="3" hidden="1">Not_Downloaded!$A$1:$F$4</definedName>
    <definedName name="_xlnm._FilterDatabase" localSheetId="14" hidden="1">Panel_Dictionary!$A$1:$C$23</definedName>
    <definedName name="_xlnm._FilterDatabase" localSheetId="11" hidden="1">Panel_Files!$A$1:$F$7</definedName>
    <definedName name="_xlnm._FilterDatabase" localSheetId="13" hidden="1">Panel_Notes!$A$1:$B$7</definedName>
    <definedName name="_xlnm._FilterDatabase" localSheetId="0" hidden="1">README!$A$1:$B$29</definedName>
    <definedName name="_xlnm._FilterDatabase" localSheetId="19" hidden="1">Risks_and_Gotchas!$A$1:$E$16</definedName>
    <definedName name="_xlnm._FilterDatabase" localSheetId="9" hidden="1">RV_Files!$A$1:$F$7</definedName>
    <definedName name="_xlnm._FilterDatabase" localSheetId="2" hidden="1">Sources_and_Links!$A$1:$J$10</definedName>
    <definedName name="_xlnm._FilterDatabase" localSheetId="16" hidden="1">Validation!$A$1:$D$1196</definedName>
    <definedName name="_xlnm._FilterDatabase" localSheetId="6" hidden="1">Volatility_Files!$A$1:$F$18</definedName>
  </definedNames>
  <calcPr calcId="124519" fullCalcOnLoad="1"/>
</workbook>
</file>

<file path=xl/sharedStrings.xml><?xml version="1.0" encoding="utf-8"?>
<sst xmlns="http://schemas.openxmlformats.org/spreadsheetml/2006/main" count="7240" uniqueCount="1835">
  <si>
    <t>GARCH-EVT / Realized GARCH / Quantile Regression - DATA ACQUISITION REPORT</t>
  </si>
  <si>
    <t>Prepared by</t>
  </si>
  <si>
    <t>Generated</t>
  </si>
  <si>
    <t>PURPOSE</t>
  </si>
  <si>
    <t>Asset universe</t>
  </si>
  <si>
    <t>Why these 6</t>
  </si>
  <si>
    <t>Intraday sampling</t>
  </si>
  <si>
    <t>Why 5-min</t>
  </si>
  <si>
    <t>Constraint</t>
  </si>
  <si>
    <t>Resolution</t>
  </si>
  <si>
    <t>Learning period</t>
  </si>
  <si>
    <t>Test period</t>
  </si>
  <si>
    <t>Rolling window</t>
  </si>
  <si>
    <t>Resulting test window</t>
  </si>
  <si>
    <t>Extreme events inside it</t>
  </si>
  <si>
    <t>Trade-off accepted</t>
  </si>
  <si>
    <t>Format</t>
  </si>
  <si>
    <t>Dates</t>
  </si>
  <si>
    <t>Intraday timestamps</t>
  </si>
  <si>
    <t>Missing values</t>
  </si>
  <si>
    <t>Folder layout</t>
  </si>
  <si>
    <t>Researcher A (data lead)</t>
  </si>
  <si>
    <t>2026-08-23</t>
  </si>
  <si>
    <t>Single source of truth for every dataset used by the project: what it is, where it comes from, how to re-fetch it, what columns it has, and whether it has been validated.</t>
  </si>
  <si>
    <t>6 Tier-1 equity indices: S&amp;P 500, Nasdaq 100, FTSE 100, DAX 40, Nikkei 225, Hang Seng</t>
  </si>
  <si>
    <t>Cover North America / UK / Eurozone / Japan / Hong Kong; all have free intraday from Dukascopy; all have a usable implied-vol series.</t>
  </si>
  <si>
    <t>Downloaded at 1-min; analysis at 5-min. 1/10/15/30-min also computed for the sampling-robustness check.</t>
  </si>
  <si>
    <t>Literature standard (Liu, Patton and Sheppard 2015). 15-min gives only ~26 bars/session - too noisy for RV.</t>
  </si>
  <si>
    <t>Free intraday index data does NOT exist before ~2011-2013. 2007 intraday is impossible without a paid feed (TAQ/WRDS).</t>
  </si>
  <si>
    <t>Daily and intraday do NOT need identical start dates. What must match is the OUT-OF-SAMPLE TEST WINDOW.</t>
  </si>
  <si>
    <t>Each model may use as much history as it can get (daily back to 1990).</t>
  </si>
  <si>
    <t>Starts only when every model can forecast - i.e. when RV exists plus one rolling window.</t>
  </si>
  <si>
    <t>USE 1000-1250 DAYS, not the 2000 in the Executive Summary. At 2000 days the first forecast slips to ~2021 and you lose half the test period.</t>
  </si>
  <si>
    <t>approx 2017-2026 (~9 years) - identical for all four model families.</t>
  </si>
  <si>
    <t>Feb-2018 Volmageddon, Q4-2018 selloff, COVID Mar-2020, 2022 bear market, Mar-2023 banking stress, Aug-2024 yen-carry unwind, 2025 tariff volatility.</t>
  </si>
  <si>
    <t>2008 GFC is NOT in the intraday sample. It remains available for GARCH-EVT and QR on the daily series.</t>
  </si>
  <si>
    <t>CSV throughout (as requested). UTF-8, comma-separated, header row present.</t>
  </si>
  <si>
    <t>ISO YYYY-MM-DD.</t>
  </si>
  <si>
    <t>Two columns: ts_utc (UTC) and ts_local (exchange-local, DST-aware). Always join on ts_utc.</t>
  </si>
  <si>
    <t>Empty cell (not NaN, not -999).</t>
  </si>
  <si>
    <t>daily/ | intraday/1min/ | intraday/5min/ | volatility/ | realized_volatility/ | macro/ | _validation/ | _logs/ | _scripts/</t>
  </si>
  <si>
    <t>Item</t>
  </si>
  <si>
    <t>Detail</t>
  </si>
  <si>
    <t>SPX</t>
  </si>
  <si>
    <t>NDX</t>
  </si>
  <si>
    <t>UKX</t>
  </si>
  <si>
    <t>DAX</t>
  </si>
  <si>
    <t>NKY</t>
  </si>
  <si>
    <t>HSI</t>
  </si>
  <si>
    <t>S&amp;P 500</t>
  </si>
  <si>
    <t>Nasdaq 100</t>
  </si>
  <si>
    <t>FTSE 100</t>
  </si>
  <si>
    <t>DAX 40</t>
  </si>
  <si>
    <t>Nikkei 225</t>
  </si>
  <si>
    <t>Hang Seng</t>
  </si>
  <si>
    <t>North America</t>
  </si>
  <si>
    <t>Europe</t>
  </si>
  <si>
    <t>Asia</t>
  </si>
  <si>
    <t>United States</t>
  </si>
  <si>
    <t>United Kingdom</t>
  </si>
  <si>
    <t>Germany</t>
  </si>
  <si>
    <t>Japan</t>
  </si>
  <si>
    <t>Hong Kong</t>
  </si>
  <si>
    <t>USD</t>
  </si>
  <si>
    <t>GBP</t>
  </si>
  <si>
    <t>EUR</t>
  </si>
  <si>
    <t>JPY</t>
  </si>
  <si>
    <t>HKD</t>
  </si>
  <si>
    <t>America/New_York</t>
  </si>
  <si>
    <t>Europe/London</t>
  </si>
  <si>
    <t>Europe/Berlin</t>
  </si>
  <si>
    <t>Asia/Tokyo</t>
  </si>
  <si>
    <t>Asia/Hong_Kong</t>
  </si>
  <si>
    <t>09:30-16:00</t>
  </si>
  <si>
    <t>08:00-16:30</t>
  </si>
  <si>
    <t>09:00-17:30</t>
  </si>
  <si>
    <t>09:00-11:30, 12:30-15:00</t>
  </si>
  <si>
    <t>09:30-12:00, 13:00-16:00</t>
  </si>
  <si>
    <t>^GSPC</t>
  </si>
  <si>
    <t>^NDX</t>
  </si>
  <si>
    <t>^FTSE</t>
  </si>
  <si>
    <t>^GDAXI</t>
  </si>
  <si>
    <t>^N225</t>
  </si>
  <si>
    <t>^HSI</t>
  </si>
  <si>
    <t>USA500IDXUSD</t>
  </si>
  <si>
    <t>USATECHIDXUSD</t>
  </si>
  <si>
    <t>GBRIDXGBP</t>
  </si>
  <si>
    <t>DEUIDXEUR</t>
  </si>
  <si>
    <t>JPNIDXJPY</t>
  </si>
  <si>
    <t>HKGIDXHKD</t>
  </si>
  <si>
    <t>VIX</t>
  </si>
  <si>
    <t>VXN</t>
  </si>
  <si>
    <t>VXEFA + V2TX</t>
  </si>
  <si>
    <t>V1X (VDAX-NEW)</t>
  </si>
  <si>
    <t>NKVI (2018+) + VXEFA</t>
  </si>
  <si>
    <t>VXEEM</t>
  </si>
  <si>
    <t>Exact</t>
  </si>
  <si>
    <t>PROXY - no free FTSE vol index (VFTSE discontinued)</t>
  </si>
  <si>
    <t>PARTIAL - Nikkei VI only from 2018 on the free feed</t>
  </si>
  <si>
    <t>PROXY - VHSI not free; VXEEM is EM-wide</t>
  </si>
  <si>
    <t>Code</t>
  </si>
  <si>
    <t>Name</t>
  </si>
  <si>
    <t>Region</t>
  </si>
  <si>
    <t>Country</t>
  </si>
  <si>
    <t>Currency</t>
  </si>
  <si>
    <t>Exchange_TZ</t>
  </si>
  <si>
    <t>Cash_Session_Local</t>
  </si>
  <si>
    <t>Bars_per_session_5min</t>
  </si>
  <si>
    <t>Daily_Ticker</t>
  </si>
  <si>
    <t>Dukascopy_Instrument</t>
  </si>
  <si>
    <t>Vol_Index</t>
  </si>
  <si>
    <t>Vol_Index_Match</t>
  </si>
  <si>
    <t>Yahoo Finance</t>
  </si>
  <si>
    <t>CBOE</t>
  </si>
  <si>
    <t>STOXX</t>
  </si>
  <si>
    <t>Dukascopy Bank</t>
  </si>
  <si>
    <t>FRED (St. Louis Fed)</t>
  </si>
  <si>
    <t>Stooq</t>
  </si>
  <si>
    <t>Alpha Vantage</t>
  </si>
  <si>
    <t>FRED SP500 series</t>
  </si>
  <si>
    <t>Oxford-Man Realized Library</t>
  </si>
  <si>
    <t>Daily index OHLCV</t>
  </si>
  <si>
    <t>US volatility indices (13 series)</t>
  </si>
  <si>
    <t>VSTOXX (V2TX), VDAX-NEW (V1X), VSTOXX 1M (V6I1)</t>
  </si>
  <si>
    <t>1-min index CFD candles</t>
  </si>
  <si>
    <t>Macro predictors</t>
  </si>
  <si>
    <t>(rejected) daily index CSV</t>
  </si>
  <si>
    <t>(rejected) intraday</t>
  </si>
  <si>
    <t>(rejected) S&amp;P 500 daily</t>
  </si>
  <si>
    <t>(unavailable) precomputed RV</t>
  </si>
  <si>
    <t>yfinance Python library</t>
  </si>
  <si>
    <t>Direct CSV over HTTPS</t>
  </si>
  <si>
    <t>Direct TXT over HTTPS, semicolon-delimited</t>
  </si>
  <si>
    <t>Direct binary .bi5 (LZMA) over HTTPS</t>
  </si>
  <si>
    <t>REST API (api.stlouisfed.org)</t>
  </si>
  <si>
    <t>CSV endpoint</t>
  </si>
  <si>
    <t>REST</t>
  </si>
  <si>
    <t>FRED</t>
  </si>
  <si>
    <t>-</t>
  </si>
  <si>
    <t>https://finance.yahoo.com</t>
  </si>
  <si>
    <t>https://cdn.cboe.com/api/global/us_indices/daily_prices/{SYMBOL}_History.csv</t>
  </si>
  <si>
    <t>https://www.stoxx.com/document/Indices/Current/HistoricalData/h_{code}.txt</t>
  </si>
  <si>
    <t>https://datafeed.dukascopy.com/datafeed/{INSTRUMENT}/{YYYY}/{MM-1}/{DD}/BID_candles_min_1.bi5</t>
  </si>
  <si>
    <t>https://api.stlouisfed.org/fred/series/observations</t>
  </si>
  <si>
    <t>https://stooq.com/q/d/l/?s={sym}&amp;i=d</t>
  </si>
  <si>
    <t>https://www.alphavantage.co</t>
  </si>
  <si>
    <t>https://fred.stlouisfed.org/series/SP500</t>
  </si>
  <si>
    <t>https://realized.oxford-man.ox.ac.uk</t>
  </si>
  <si>
    <t>None</t>
  </si>
  <si>
    <t>REQUIRED (free)</t>
  </si>
  <si>
    <t>Required</t>
  </si>
  <si>
    <t>Free key</t>
  </si>
  <si>
    <t>Informal; throttles on abuse</t>
  </si>
  <si>
    <t>None observed</t>
  </si>
  <si>
    <t>Throttles hard without keep-alive. ~5 req/s with 6 persistent sessions.</t>
  </si>
  <si>
    <t>120 req/min</t>
  </si>
  <si>
    <t>n/a</t>
  </si>
  <si>
    <t>25 req/day free</t>
  </si>
  <si>
    <t>Free</t>
  </si>
  <si>
    <t>Free tier</t>
  </si>
  <si>
    <t>Personal/research use. Do not redistribute in bulk.</t>
  </si>
  <si>
    <t>Publicly published index levels.</t>
  </si>
  <si>
    <t>TLS chain is incomplete - standard verification FAILS. Must pass an unverified SSL context (see script 02).</t>
  </si>
  <si>
    <t>Broker-quoted CFD, NOT the exchange index. See Risks sheet.</t>
  </si>
  <si>
    <t>fred.stlouisfed.org website is UNREACHABLE from this network (4/4 timeouts). The API host IS reachable.</t>
  </si>
  <si>
    <t>REJECTED: now behind a JavaScript anti-bot challenge - returns HTML, not CSV. Verified broken 2026-08-23</t>
  </si>
  <si>
    <t>REJECTED: the month= parameter needed for long intraday history is paid-only as of 2026.</t>
  </si>
  <si>
    <t>REJECTED: only 10 years of history (S&amp;P DJI licence) AND redistribution prohibited - cannot be committed to the repo.</t>
  </si>
  <si>
    <t>DISCONTINUED by the institute; site offline, no replacement planned. Archived GitHub copies end ~2021 - benchmark only.</t>
  </si>
  <si>
    <t>WORKING</t>
  </si>
  <si>
    <t>WORKING (with TLS workaround)</t>
  </si>
  <si>
    <t>NOT DOWNLOADED - needs free key</t>
  </si>
  <si>
    <t>BROKEN - do not use</t>
  </si>
  <si>
    <t>REJECTED</t>
  </si>
  <si>
    <t>DISCONTINUED</t>
  </si>
  <si>
    <t>Source</t>
  </si>
  <si>
    <t>Data</t>
  </si>
  <si>
    <t>Access</t>
  </si>
  <si>
    <t>URL</t>
  </si>
  <si>
    <t>API_Key</t>
  </si>
  <si>
    <t>Rate_Limit</t>
  </si>
  <si>
    <t>Cost</t>
  </si>
  <si>
    <t>Licence_Note</t>
  </si>
  <si>
    <t>Verified</t>
  </si>
  <si>
    <t>Status</t>
  </si>
  <si>
    <t>FRED macro series - the 5 with NO market analogue (CPIAUCSL, UNRATE, INDPRO, NFCI, USREC)</t>
  </si>
  <si>
    <t>Dukascopy ASK-side candles</t>
  </si>
  <si>
    <t>Alpaca SPY/QQQ 1-min (2016+)</t>
  </si>
  <si>
    <t>Requires a free API key that only you can create - I cannot register an account on your behalf. NOTE: the other 12 FRED series originally planned are NO LONGER NEEDED - script 09 now supplies equivalent keyless market-traded factors (see the Macro_Files sheet). Only these 5 genuinely macroeconomic weekly/monthly series have no honest market substitute, and they are optional covariates rather than core inputs.</t>
  </si>
  <si>
    <t>BID side downloaded first as the primary series. ASK is only needed to build mid-price RV as a microstructure robustness check.</t>
  </si>
  <si>
    <t>Free but needs an account API key. Recommended as an INDEPENDENT cross-check on Dukascopy RV for the US indices.</t>
  </si>
  <si>
    <t>Re-verified 2026-08-23. api.stlouisfed.org answers in 0.5-0.8s with HTTP 400 'missing api_key' (2/2 attempts) - the host is reachable and the API path is correct. The keyless website route fred.stlouisfed.org/graph/fredgraph.csv timed out 4/4 at 25s and must not be used.</t>
  </si>
  <si>
    <t>Identical URL pattern with ASK_candles_min_1.bi5; binary format confirmed identical.</t>
  </si>
  <si>
    <t>Docs confirm the Basic (free) plan: history since 2016, 200 req/min, only the most recent 15 min withheld.</t>
  </si>
  <si>
    <t>1) https://fredaccount.stlouisfed.org/apikeys  2) set FRED_API_KEY=&lt;key&gt;  3) python data/_scripts/04_download_macro_FRED.py</t>
  </si>
  <si>
    <t>set DUKA_SIDE=ASK then rerun data/_scripts/03_download_intraday.py</t>
  </si>
  <si>
    <t>Create a free paper-trading account at alpaca.markets, then use alpaca-py historical bars.</t>
  </si>
  <si>
    <t>~2 minutes</t>
  </si>
  <si>
    <t>~60-80 min unattended per index at the measured sustained rate of ~4.8 req/s</t>
  </si>
  <si>
    <t>~30 min</t>
  </si>
  <si>
    <t>data/_scripts/04_download_macro_FRED.py (written; tested up to the key check)</t>
  </si>
  <si>
    <t>data/_scripts/03_download_intraday.py (env var switch)</t>
  </si>
  <si>
    <t>Not written - say the word if you want it</t>
  </si>
  <si>
    <t>Why_Not</t>
  </si>
  <si>
    <t>Verified_Fetchable</t>
  </si>
  <si>
    <t>How_To_Get</t>
  </si>
  <si>
    <t>Effort</t>
  </si>
  <si>
    <t>Script</t>
  </si>
  <si>
    <t>2011-09-19</t>
  </si>
  <si>
    <t>2013-09-30</t>
  </si>
  <si>
    <t>2011-09-20</t>
  </si>
  <si>
    <t>2026-08-21</t>
  </si>
  <si>
    <t>COMPLETE</t>
  </si>
  <si>
    <t>Downloaded, RV built, validated. CSVs on disk.</t>
  </si>
  <si>
    <t>python data/_scripts/03_download_intraday.py SPX</t>
  </si>
  <si>
    <t>python data/_scripts/03_download_intraday.py NDX</t>
  </si>
  <si>
    <t>python data/_scripts/03_download_intraday.py UKX</t>
  </si>
  <si>
    <t>python data/_scripts/03_download_intraday.py DAX</t>
  </si>
  <si>
    <t>python data/_scripts/03_download_intraday.py NKY</t>
  </si>
  <si>
    <t>python data/_scripts/03_download_intraday.py HSI</t>
  </si>
  <si>
    <t>Days_Cached</t>
  </si>
  <si>
    <t>Days_Expected</t>
  </si>
  <si>
    <t>Pct_Cached</t>
  </si>
  <si>
    <t>RV_Session_Days</t>
  </si>
  <si>
    <t>RV_First</t>
  </si>
  <si>
    <t>RV_Last</t>
  </si>
  <si>
    <t>Median_5min_Bars</t>
  </si>
  <si>
    <t>Failed_Days_To_Retry</t>
  </si>
  <si>
    <t>Est_Minutes_To_Finish</t>
  </si>
  <si>
    <t>Note</t>
  </si>
  <si>
    <t>Resume_Command</t>
  </si>
  <si>
    <t>daily\DAX\DAX_daily_1990-01-02_2026-08-21.csv</t>
  </si>
  <si>
    <t>daily\HSI\HSI_daily_1990-01-02_2026-08-21.csv</t>
  </si>
  <si>
    <t>daily\NDX\NDX_daily_1990-01-02_2026-08-21.csv</t>
  </si>
  <si>
    <t>daily\NKY\NKY_daily_1990-01-04_2026-08-21.csv</t>
  </si>
  <si>
    <t>daily\SPX\SPX_daily_1990-01-02_2026-08-21.csv</t>
  </si>
  <si>
    <t>daily\UKX\UKX_daily_1990-01-02_2026-08-21.csv</t>
  </si>
  <si>
    <t>1990-01-02</t>
  </si>
  <si>
    <t>1990-01-04</t>
  </si>
  <si>
    <t>855 KB</t>
  </si>
  <si>
    <t>861 KB</t>
  </si>
  <si>
    <t>865 KB</t>
  </si>
  <si>
    <t>851 KB</t>
  </si>
  <si>
    <t>854 KB</t>
  </si>
  <si>
    <t>849 KB</t>
  </si>
  <si>
    <t>Date; Symbol; Open; High; Low; Close; Adj Close; Volume; LogReturn</t>
  </si>
  <si>
    <t>file</t>
  </si>
  <si>
    <t>rows</t>
  </si>
  <si>
    <t>first</t>
  </si>
  <si>
    <t>last</t>
  </si>
  <si>
    <t>size</t>
  </si>
  <si>
    <t>columns</t>
  </si>
  <si>
    <t>volatility\GVZ\GVZ_daily_2009-09-18_2026-08-21.csv</t>
  </si>
  <si>
    <t>volatility\NKVI\NKVI_daily_2018-01-22_2026-08-21.csv</t>
  </si>
  <si>
    <t>volatility\OVX\OVX_daily_2009-09-18_2026-08-21.csv</t>
  </si>
  <si>
    <t>volatility\RVX\RVX_daily_2009-09-16_2026-08-21.csv</t>
  </si>
  <si>
    <t>volatility\SKEW\SKEW_daily_1990-01-02_2026-08-21.csv</t>
  </si>
  <si>
    <t>volatility\V1X\V1X_daily_2005-02-01_2026-08-21.csv</t>
  </si>
  <si>
    <t>volatility\V2TX\V2TX_daily_1999-01-04_2026-08-21.csv</t>
  </si>
  <si>
    <t>volatility\V6I1\V6I1_daily_1999-01-04_2026-08-19.csv</t>
  </si>
  <si>
    <t>volatility\VIX3M\VIX3M_daily_2009-09-18_2026-08-21.csv</t>
  </si>
  <si>
    <t>volatility\VIX6M\VIX6M_daily_2008-01-02_2026-08-21.csv</t>
  </si>
  <si>
    <t>volatility\VIX9D\VIX9D_daily_2011-01-04_2026-08-21.csv</t>
  </si>
  <si>
    <t>volatility\VIX\VIX_daily_1990-01-02_2026-08-21.csv</t>
  </si>
  <si>
    <t>volatility\VVIX\VVIX_daily_2006-03-06_2026-08-21.csv</t>
  </si>
  <si>
    <t>volatility\VXD\VXD_daily_2009-09-18_2026-08-21.csv</t>
  </si>
  <si>
    <t>volatility\VXEEM\VXEEM_daily_2011-03-16_2026-08-21.csv</t>
  </si>
  <si>
    <t>volatility\VXEFA\VXEFA_daily_2008-01-02_2026-08-21.csv</t>
  </si>
  <si>
    <t>volatility\VXN\VXN_daily_2009-09-14_2026-08-21.csv</t>
  </si>
  <si>
    <t>2009-09-18</t>
  </si>
  <si>
    <t>2018-01-22</t>
  </si>
  <si>
    <t>2009-09-16</t>
  </si>
  <si>
    <t>2005-02-01</t>
  </si>
  <si>
    <t>1999-01-04</t>
  </si>
  <si>
    <t>2008-01-02</t>
  </si>
  <si>
    <t>2011-01-04</t>
  </si>
  <si>
    <t>2006-03-06</t>
  </si>
  <si>
    <t>2011-03-16</t>
  </si>
  <si>
    <t>2009-09-14</t>
  </si>
  <si>
    <t>2026-08-19</t>
  </si>
  <si>
    <t>112 KB</t>
  </si>
  <si>
    <t>100 KB</t>
  </si>
  <si>
    <t>199 KB</t>
  </si>
  <si>
    <t>261 KB</t>
  </si>
  <si>
    <t>144 KB</t>
  </si>
  <si>
    <t>192 KB</t>
  </si>
  <si>
    <t>173 KB</t>
  </si>
  <si>
    <t>208 KB</t>
  </si>
  <si>
    <t>229 KB</t>
  </si>
  <si>
    <t>191 KB</t>
  </si>
  <si>
    <t>434 KB</t>
  </si>
  <si>
    <t>141 KB</t>
  </si>
  <si>
    <t>189 KB</t>
  </si>
  <si>
    <t>228 KB</t>
  </si>
  <si>
    <t>200 KB</t>
  </si>
  <si>
    <t>Date; Symbol; Open; High; Low; Close</t>
  </si>
  <si>
    <t>intraday\5min\DAX\DAX_5min_2013.csv</t>
  </si>
  <si>
    <t>intraday\5min\DAX\DAX_5min_2014.csv</t>
  </si>
  <si>
    <t>intraday\5min\DAX\DAX_5min_2015.csv</t>
  </si>
  <si>
    <t>intraday\5min\DAX\DAX_5min_2016.csv</t>
  </si>
  <si>
    <t>intraday\5min\DAX\DAX_5min_2017.csv</t>
  </si>
  <si>
    <t>intraday\5min\DAX\DAX_5min_2018.csv</t>
  </si>
  <si>
    <t>intraday\5min\DAX\DAX_5min_2019.csv</t>
  </si>
  <si>
    <t>intraday\5min\DAX\DAX_5min_2020.csv</t>
  </si>
  <si>
    <t>intraday\5min\DAX\DAX_5min_2021.csv</t>
  </si>
  <si>
    <t>intraday\5min\DAX\DAX_5min_2022.csv</t>
  </si>
  <si>
    <t>intraday\5min\DAX\DAX_5min_2023.csv</t>
  </si>
  <si>
    <t>intraday\5min\DAX\DAX_5min_2024.csv</t>
  </si>
  <si>
    <t>intraday\5min\DAX\DAX_5min_2025.csv</t>
  </si>
  <si>
    <t>intraday\5min\DAX\DAX_5min_2026.csv</t>
  </si>
  <si>
    <t>intraday\5min\HSI\HSI_5min_2011.csv</t>
  </si>
  <si>
    <t>intraday\5min\HSI\HSI_5min_2012.csv</t>
  </si>
  <si>
    <t>intraday\5min\HSI\HSI_5min_2013.csv</t>
  </si>
  <si>
    <t>intraday\5min\HSI\HSI_5min_2014.csv</t>
  </si>
  <si>
    <t>intraday\5min\HSI\HSI_5min_2015.csv</t>
  </si>
  <si>
    <t>intraday\5min\HSI\HSI_5min_2016.csv</t>
  </si>
  <si>
    <t>intraday\5min\HSI\HSI_5min_2017.csv</t>
  </si>
  <si>
    <t>intraday\5min\HSI\HSI_5min_2018.csv</t>
  </si>
  <si>
    <t>intraday\5min\HSI\HSI_5min_2019.csv</t>
  </si>
  <si>
    <t>intraday\5min\HSI\HSI_5min_2020.csv</t>
  </si>
  <si>
    <t>intraday\5min\HSI\HSI_5min_2021.csv</t>
  </si>
  <si>
    <t>intraday\5min\HSI\HSI_5min_2022.csv</t>
  </si>
  <si>
    <t>intraday\5min\HSI\HSI_5min_2023.csv</t>
  </si>
  <si>
    <t>intraday\5min\HSI\HSI_5min_2024.csv</t>
  </si>
  <si>
    <t>intraday\5min\HSI\HSI_5min_2025.csv</t>
  </si>
  <si>
    <t>intraday\5min\HSI\HSI_5min_2026.csv</t>
  </si>
  <si>
    <t>intraday\5min\NDX\NDX_5min_2011.csv</t>
  </si>
  <si>
    <t>intraday\5min\NDX\NDX_5min_2012.csv</t>
  </si>
  <si>
    <t>intraday\5min\NDX\NDX_5min_2013.csv</t>
  </si>
  <si>
    <t>intraday\5min\NDX\NDX_5min_2014.csv</t>
  </si>
  <si>
    <t>intraday\5min\NDX\NDX_5min_2015.csv</t>
  </si>
  <si>
    <t>intraday\5min\NDX\NDX_5min_2016.csv</t>
  </si>
  <si>
    <t>intraday\5min\NDX\NDX_5min_2017.csv</t>
  </si>
  <si>
    <t>intraday\5min\NDX\NDX_5min_2018.csv</t>
  </si>
  <si>
    <t>intraday\5min\NDX\NDX_5min_2019.csv</t>
  </si>
  <si>
    <t>intraday\5min\NDX\NDX_5min_2020.csv</t>
  </si>
  <si>
    <t>intraday\5min\NDX\NDX_5min_2021.csv</t>
  </si>
  <si>
    <t>intraday\5min\NDX\NDX_5min_2022.csv</t>
  </si>
  <si>
    <t>intraday\5min\NDX\NDX_5min_2023.csv</t>
  </si>
  <si>
    <t>intraday\5min\NDX\NDX_5min_2024.csv</t>
  </si>
  <si>
    <t>intraday\5min\NDX\NDX_5min_2025.csv</t>
  </si>
  <si>
    <t>intraday\5min\NDX\NDX_5min_2026.csv</t>
  </si>
  <si>
    <t>intraday\5min\NKY\NKY_5min_2011.csv</t>
  </si>
  <si>
    <t>intraday\5min\NKY\NKY_5min_2012.csv</t>
  </si>
  <si>
    <t>intraday\5min\NKY\NKY_5min_2013.csv</t>
  </si>
  <si>
    <t>intraday\5min\NKY\NKY_5min_2014.csv</t>
  </si>
  <si>
    <t>intraday\5min\NKY\NKY_5min_2015.csv</t>
  </si>
  <si>
    <t>intraday\5min\NKY\NKY_5min_2016.csv</t>
  </si>
  <si>
    <t>intraday\5min\NKY\NKY_5min_2017.csv</t>
  </si>
  <si>
    <t>intraday\5min\NKY\NKY_5min_2018.csv</t>
  </si>
  <si>
    <t>intraday\5min\NKY\NKY_5min_2019.csv</t>
  </si>
  <si>
    <t>intraday\5min\NKY\NKY_5min_2020.csv</t>
  </si>
  <si>
    <t>intraday\5min\NKY\NKY_5min_2021.csv</t>
  </si>
  <si>
    <t>intraday\5min\NKY\NKY_5min_2022.csv</t>
  </si>
  <si>
    <t>intraday\5min\NKY\NKY_5min_2023.csv</t>
  </si>
  <si>
    <t>intraday\5min\NKY\NKY_5min_2024.csv</t>
  </si>
  <si>
    <t>intraday\5min\NKY\NKY_5min_2025.csv</t>
  </si>
  <si>
    <t>intraday\5min\NKY\NKY_5min_2026.csv</t>
  </si>
  <si>
    <t>intraday\5min\SPX\SPX_5min_2011.csv</t>
  </si>
  <si>
    <t>intraday\5min\SPX\SPX_5min_2012.csv</t>
  </si>
  <si>
    <t>intraday\5min\SPX\SPX_5min_2013.csv</t>
  </si>
  <si>
    <t>intraday\5min\SPX\SPX_5min_2014.csv</t>
  </si>
  <si>
    <t>intraday\5min\SPX\SPX_5min_2015.csv</t>
  </si>
  <si>
    <t>intraday\5min\SPX\SPX_5min_2016.csv</t>
  </si>
  <si>
    <t>intraday\5min\SPX\SPX_5min_2017.csv</t>
  </si>
  <si>
    <t>intraday\5min\SPX\SPX_5min_2018.csv</t>
  </si>
  <si>
    <t>intraday\5min\SPX\SPX_5min_2019.csv</t>
  </si>
  <si>
    <t>intraday\5min\SPX\SPX_5min_2020.csv</t>
  </si>
  <si>
    <t>intraday\5min\SPX\SPX_5min_2021.csv</t>
  </si>
  <si>
    <t>intraday\5min\SPX\SPX_5min_2022.csv</t>
  </si>
  <si>
    <t>intraday\5min\SPX\SPX_5min_2023.csv</t>
  </si>
  <si>
    <t>intraday\5min\SPX\SPX_5min_2024.csv</t>
  </si>
  <si>
    <t>intraday\5min\SPX\SPX_5min_2025.csv</t>
  </si>
  <si>
    <t>intraday\5min\SPX\SPX_5min_2026.csv</t>
  </si>
  <si>
    <t>intraday\5min\UKX\UKX_5min_2011.csv</t>
  </si>
  <si>
    <t>intraday\5min\UKX\UKX_5min_2012.csv</t>
  </si>
  <si>
    <t>intraday\5min\UKX\UKX_5min_2013.csv</t>
  </si>
  <si>
    <t>intraday\5min\UKX\UKX_5min_2014.csv</t>
  </si>
  <si>
    <t>intraday\5min\UKX\UKX_5min_2015.csv</t>
  </si>
  <si>
    <t>intraday\5min\UKX\UKX_5min_2016.csv</t>
  </si>
  <si>
    <t>intraday\5min\UKX\UKX_5min_2017.csv</t>
  </si>
  <si>
    <t>intraday\5min\UKX\UKX_5min_2018.csv</t>
  </si>
  <si>
    <t>intraday\5min\UKX\UKX_5min_2019.csv</t>
  </si>
  <si>
    <t>intraday\5min\UKX\UKX_5min_2020.csv</t>
  </si>
  <si>
    <t>intraday\5min\UKX\UKX_5min_2021.csv</t>
  </si>
  <si>
    <t>intraday\5min\UKX\UKX_5min_2022.csv</t>
  </si>
  <si>
    <t>intraday\5min\UKX\UKX_5min_2023.csv</t>
  </si>
  <si>
    <t>intraday\5min\UKX\UKX_5min_2024.csv</t>
  </si>
  <si>
    <t>intraday\5min\UKX\UKX_5min_2025.csv</t>
  </si>
  <si>
    <t>intraday\5min\UKX\UKX_5min_2026.csv</t>
  </si>
  <si>
    <t>2014-01-02</t>
  </si>
  <si>
    <t>2015-01-02</t>
  </si>
  <si>
    <t>2016-01-04</t>
  </si>
  <si>
    <t>2017-01-02</t>
  </si>
  <si>
    <t>2018-01-02</t>
  </si>
  <si>
    <t>2019-01-02</t>
  </si>
  <si>
    <t>2020-01-02</t>
  </si>
  <si>
    <t>2021-01-04</t>
  </si>
  <si>
    <t>2022-01-03</t>
  </si>
  <si>
    <t>2023-01-02</t>
  </si>
  <si>
    <t>2024-01-02</t>
  </si>
  <si>
    <t>2025-01-02</t>
  </si>
  <si>
    <t>2026-01-02</t>
  </si>
  <si>
    <t>2012-02-06</t>
  </si>
  <si>
    <t>2013-01-02</t>
  </si>
  <si>
    <t>2017-01-04</t>
  </si>
  <si>
    <t>2022-01-04</t>
  </si>
  <si>
    <t>2023-01-03</t>
  </si>
  <si>
    <t>2012-01-19</t>
  </si>
  <si>
    <t>2017-01-03</t>
  </si>
  <si>
    <t>2013-01-04</t>
  </si>
  <si>
    <t>2012-01-16</t>
  </si>
  <si>
    <t>2025-01-03</t>
  </si>
  <si>
    <t>2013-12-30</t>
  </si>
  <si>
    <t>2014-12-30</t>
  </si>
  <si>
    <t>2015-12-30</t>
  </si>
  <si>
    <t>2016-12-30</t>
  </si>
  <si>
    <t>2017-12-29</t>
  </si>
  <si>
    <t>2018-12-28</t>
  </si>
  <si>
    <t>2019-12-31</t>
  </si>
  <si>
    <t>2020-12-31</t>
  </si>
  <si>
    <t>2021-12-31</t>
  </si>
  <si>
    <t>2022-12-30</t>
  </si>
  <si>
    <t>2023-12-29</t>
  </si>
  <si>
    <t>2024-12-31</t>
  </si>
  <si>
    <t>2025-12-31</t>
  </si>
  <si>
    <t>2011-09-23</t>
  </si>
  <si>
    <t>2012-12-31</t>
  </si>
  <si>
    <t>2013-12-31</t>
  </si>
  <si>
    <t>2014-12-31</t>
  </si>
  <si>
    <t>2015-12-31</t>
  </si>
  <si>
    <t>2018-12-31</t>
  </si>
  <si>
    <t>2011-09-22</t>
  </si>
  <si>
    <t>2012-12-28</t>
  </si>
  <si>
    <t>668 KB</t>
  </si>
  <si>
    <t>3 MB</t>
  </si>
  <si>
    <t>2 MB</t>
  </si>
  <si>
    <t>36 KB</t>
  </si>
  <si>
    <t>1 MB</t>
  </si>
  <si>
    <t>35 KB</t>
  </si>
  <si>
    <t>17 KB</t>
  </si>
  <si>
    <t>540 KB</t>
  </si>
  <si>
    <t>32 KB</t>
  </si>
  <si>
    <t>55 KB</t>
  </si>
  <si>
    <t>Date; Symbol; ts_utc; ts_local; Open; High; Low; Close; Volume</t>
  </si>
  <si>
    <t>intraday\1min\DAX\DAX_1min_2013.csv</t>
  </si>
  <si>
    <t>intraday\1min\DAX\DAX_1min_2014.csv</t>
  </si>
  <si>
    <t>intraday\1min\DAX\DAX_1min_2015.csv</t>
  </si>
  <si>
    <t>intraday\1min\DAX\DAX_1min_2016.csv</t>
  </si>
  <si>
    <t>intraday\1min\DAX\DAX_1min_2017.csv</t>
  </si>
  <si>
    <t>intraday\1min\DAX\DAX_1min_2018.csv</t>
  </si>
  <si>
    <t>intraday\1min\DAX\DAX_1min_2019.csv</t>
  </si>
  <si>
    <t>intraday\1min\DAX\DAX_1min_2020.csv</t>
  </si>
  <si>
    <t>intraday\1min\DAX\DAX_1min_2021.csv</t>
  </si>
  <si>
    <t>intraday\1min\DAX\DAX_1min_2022.csv</t>
  </si>
  <si>
    <t>intraday\1min\DAX\DAX_1min_2023.csv</t>
  </si>
  <si>
    <t>intraday\1min\DAX\DAX_1min_2024.csv</t>
  </si>
  <si>
    <t>intraday\1min\DAX\DAX_1min_2025.csv</t>
  </si>
  <si>
    <t>intraday\1min\DAX\DAX_1min_2026.csv</t>
  </si>
  <si>
    <t>intraday\1min\HSI\HSI_1min_2011.csv</t>
  </si>
  <si>
    <t>intraday\1min\HSI\HSI_1min_2012.csv</t>
  </si>
  <si>
    <t>intraday\1min\HSI\HSI_1min_2013.csv</t>
  </si>
  <si>
    <t>intraday\1min\HSI\HSI_1min_2014.csv</t>
  </si>
  <si>
    <t>intraday\1min\HSI\HSI_1min_2015.csv</t>
  </si>
  <si>
    <t>intraday\1min\HSI\HSI_1min_2016.csv</t>
  </si>
  <si>
    <t>intraday\1min\HSI\HSI_1min_2017.csv</t>
  </si>
  <si>
    <t>intraday\1min\HSI\HSI_1min_2018.csv</t>
  </si>
  <si>
    <t>intraday\1min\HSI\HSI_1min_2019.csv</t>
  </si>
  <si>
    <t>intraday\1min\HSI\HSI_1min_2020.csv</t>
  </si>
  <si>
    <t>intraday\1min\HSI\HSI_1min_2021.csv</t>
  </si>
  <si>
    <t>intraday\1min\HSI\HSI_1min_2022.csv</t>
  </si>
  <si>
    <t>intraday\1min\HSI\HSI_1min_2023.csv</t>
  </si>
  <si>
    <t>intraday\1min\HSI\HSI_1min_2024.csv</t>
  </si>
  <si>
    <t>intraday\1min\HSI\HSI_1min_2025.csv</t>
  </si>
  <si>
    <t>intraday\1min\HSI\HSI_1min_2026.csv</t>
  </si>
  <si>
    <t>intraday\1min\NDX\NDX_1min_2011.csv</t>
  </si>
  <si>
    <t>intraday\1min\NDX\NDX_1min_2012.csv</t>
  </si>
  <si>
    <t>intraday\1min\NDX\NDX_1min_2013.csv</t>
  </si>
  <si>
    <t>intraday\1min\NDX\NDX_1min_2014.csv</t>
  </si>
  <si>
    <t>intraday\1min\NDX\NDX_1min_2015.csv</t>
  </si>
  <si>
    <t>intraday\1min\NDX\NDX_1min_2016.csv</t>
  </si>
  <si>
    <t>intraday\1min\NDX\NDX_1min_2017.csv</t>
  </si>
  <si>
    <t>intraday\1min\NDX\NDX_1min_2018.csv</t>
  </si>
  <si>
    <t>intraday\1min\NDX\NDX_1min_2019.csv</t>
  </si>
  <si>
    <t>intraday\1min\NDX\NDX_1min_2020.csv</t>
  </si>
  <si>
    <t>intraday\1min\NDX\NDX_1min_2021.csv</t>
  </si>
  <si>
    <t>intraday\1min\NDX\NDX_1min_2022.csv</t>
  </si>
  <si>
    <t>intraday\1min\NDX\NDX_1min_2023.csv</t>
  </si>
  <si>
    <t>intraday\1min\NDX\NDX_1min_2024.csv</t>
  </si>
  <si>
    <t>intraday\1min\NDX\NDX_1min_2025.csv</t>
  </si>
  <si>
    <t>intraday\1min\NDX\NDX_1min_2026.csv</t>
  </si>
  <si>
    <t>intraday\1min\NKY\NKY_1min_2011.csv</t>
  </si>
  <si>
    <t>intraday\1min\NKY\NKY_1min_2012.csv</t>
  </si>
  <si>
    <t>intraday\1min\NKY\NKY_1min_2013.csv</t>
  </si>
  <si>
    <t>intraday\1min\NKY\NKY_1min_2014.csv</t>
  </si>
  <si>
    <t>intraday\1min\NKY\NKY_1min_2015.csv</t>
  </si>
  <si>
    <t>intraday\1min\NKY\NKY_1min_2016.csv</t>
  </si>
  <si>
    <t>intraday\1min\NKY\NKY_1min_2017.csv</t>
  </si>
  <si>
    <t>intraday\1min\NKY\NKY_1min_2018.csv</t>
  </si>
  <si>
    <t>intraday\1min\NKY\NKY_1min_2019.csv</t>
  </si>
  <si>
    <t>intraday\1min\NKY\NKY_1min_2020.csv</t>
  </si>
  <si>
    <t>intraday\1min\NKY\NKY_1min_2021.csv</t>
  </si>
  <si>
    <t>intraday\1min\NKY\NKY_1min_2022.csv</t>
  </si>
  <si>
    <t>intraday\1min\NKY\NKY_1min_2023.csv</t>
  </si>
  <si>
    <t>intraday\1min\NKY\NKY_1min_2024.csv</t>
  </si>
  <si>
    <t>intraday\1min\NKY\NKY_1min_2025.csv</t>
  </si>
  <si>
    <t>intraday\1min\NKY\NKY_1min_2026.csv</t>
  </si>
  <si>
    <t>intraday\1min\SPX\SPX_1min_2011.csv</t>
  </si>
  <si>
    <t>intraday\1min\SPX\SPX_1min_2012.csv</t>
  </si>
  <si>
    <t>intraday\1min\SPX\SPX_1min_2013.csv</t>
  </si>
  <si>
    <t>intraday\1min\SPX\SPX_1min_2014.csv</t>
  </si>
  <si>
    <t>intraday\1min\SPX\SPX_1min_2015.csv</t>
  </si>
  <si>
    <t>intraday\1min\SPX\SPX_1min_2016.csv</t>
  </si>
  <si>
    <t>intraday\1min\SPX\SPX_1min_2017.csv</t>
  </si>
  <si>
    <t>intraday\1min\SPX\SPX_1min_2018.csv</t>
  </si>
  <si>
    <t>intraday\1min\SPX\SPX_1min_2019.csv</t>
  </si>
  <si>
    <t>intraday\1min\SPX\SPX_1min_2020.csv</t>
  </si>
  <si>
    <t>intraday\1min\SPX\SPX_1min_2021.csv</t>
  </si>
  <si>
    <t>intraday\1min\SPX\SPX_1min_2022.csv</t>
  </si>
  <si>
    <t>intraday\1min\SPX\SPX_1min_2023.csv</t>
  </si>
  <si>
    <t>intraday\1min\SPX\SPX_1min_2024.csv</t>
  </si>
  <si>
    <t>intraday\1min\SPX\SPX_1min_2025.csv</t>
  </si>
  <si>
    <t>intraday\1min\SPX\SPX_1min_2026.csv</t>
  </si>
  <si>
    <t>intraday\1min\UKX\UKX_1min_2011.csv</t>
  </si>
  <si>
    <t>intraday\1min\UKX\UKX_1min_2012.csv</t>
  </si>
  <si>
    <t>intraday\1min\UKX\UKX_1min_2013.csv</t>
  </si>
  <si>
    <t>intraday\1min\UKX\UKX_1min_2014.csv</t>
  </si>
  <si>
    <t>intraday\1min\UKX\UKX_1min_2015.csv</t>
  </si>
  <si>
    <t>intraday\1min\UKX\UKX_1min_2016.csv</t>
  </si>
  <si>
    <t>intraday\1min\UKX\UKX_1min_2017.csv</t>
  </si>
  <si>
    <t>intraday\1min\UKX\UKX_1min_2018.csv</t>
  </si>
  <si>
    <t>intraday\1min\UKX\UKX_1min_2019.csv</t>
  </si>
  <si>
    <t>intraday\1min\UKX\UKX_1min_2020.csv</t>
  </si>
  <si>
    <t>intraday\1min\UKX\UKX_1min_2021.csv</t>
  </si>
  <si>
    <t>intraday\1min\UKX\UKX_1min_2022.csv</t>
  </si>
  <si>
    <t>intraday\1min\UKX\UKX_1min_2023.csv</t>
  </si>
  <si>
    <t>intraday\1min\UKX\UKX_1min_2024.csv</t>
  </si>
  <si>
    <t>intraday\1min\UKX\UKX_1min_2025.csv</t>
  </si>
  <si>
    <t>intraday\1min\UKX\UKX_1min_2026.csv</t>
  </si>
  <si>
    <t>14 MB</t>
  </si>
  <si>
    <t>15 MB</t>
  </si>
  <si>
    <t>10 MB</t>
  </si>
  <si>
    <t>175 KB</t>
  </si>
  <si>
    <t>8 MB</t>
  </si>
  <si>
    <t>9 MB</t>
  </si>
  <si>
    <t>6 MB</t>
  </si>
  <si>
    <t>171 KB</t>
  </si>
  <si>
    <t>11 MB</t>
  </si>
  <si>
    <t>7 MB</t>
  </si>
  <si>
    <t>78 KB</t>
  </si>
  <si>
    <t>147 KB</t>
  </si>
  <si>
    <t>268 KB</t>
  </si>
  <si>
    <t>13 MB</t>
  </si>
  <si>
    <t>realized_volatility\DAX_RV_daily.csv</t>
  </si>
  <si>
    <t>realized_volatility\HSI_RV_daily.csv</t>
  </si>
  <si>
    <t>realized_volatility\NDX_RV_daily.csv</t>
  </si>
  <si>
    <t>realized_volatility\NKY_RV_daily.csv</t>
  </si>
  <si>
    <t>realized_volatility\SPX_RV_daily.csv</t>
  </si>
  <si>
    <t>realized_volatility\UKX_RV_daily.csv</t>
  </si>
  <si>
    <t>933 KB</t>
  </si>
  <si>
    <t>1007 KB</t>
  </si>
  <si>
    <t>997 KB</t>
  </si>
  <si>
    <t>Date; Symbol; NBars1min; RV_1min; BPV_1min; NBars_1min; RV_5min; BPV_5min; NBars_5min; RV_10min; BPV_10min; NBars_10min; RV_15min; BPV_15min; NBars_15min; RV_30min; BPV_30min; NBars_30min; RVol_5min; LogRV_5min; Open_sess; Close_sess; High_sess; Low_sess; CloseToClose_LogRet; Overnight_LogRet</t>
  </si>
  <si>
    <t>macro\BRENT\BRENT_daily_2007-07-30_2026-08-21.csv</t>
  </si>
  <si>
    <t>macro\DXY\DXY_daily_1990-01-01_2026-08-21.csv</t>
  </si>
  <si>
    <t>macro\EURUSD\EURUSD_daily_2003-12-01_2026-08-21.csv</t>
  </si>
  <si>
    <t>macro\EWG\EWG_daily_1996-03-18_2026-08-21.csv</t>
  </si>
  <si>
    <t>macro\EWH\EWH_daily_1996-03-18_2026-08-21.csv</t>
  </si>
  <si>
    <t>macro\EWJ\EWJ_daily_1996-03-18_2026-08-21.csv</t>
  </si>
  <si>
    <t>macro\EWU\EWU_daily_1996-03-18_2026-08-21.csv</t>
  </si>
  <si>
    <t>macro\GBPUSD\GBPUSD_daily_2003-12-01_2026-08-23.csv</t>
  </si>
  <si>
    <t>macro\GOLD\GOLD_daily_2000-08-30_2026-08-21.csv</t>
  </si>
  <si>
    <t>macro\HYG\HYG_daily_2007-04-11_2026-08-21.csv</t>
  </si>
  <si>
    <t>macro\IEF\IEF_daily_2002-07-30_2026-08-21.csv</t>
  </si>
  <si>
    <t>macro\LQD\LQD_daily_2002-07-30_2026-08-21.csv</t>
  </si>
  <si>
    <t>macro\QQQ\QQQ_daily_1999-03-10_2026-08-21.csv</t>
  </si>
  <si>
    <t>macro\SPY\SPY_daily_1993-01-29_2026-08-21.csv</t>
  </si>
  <si>
    <t>macro\TLT\TLT_daily_2002-07-30_2026-08-21.csv</t>
  </si>
  <si>
    <t>macro\US10Y\US10Y_daily_1990-01-02_2026-08-21.csv</t>
  </si>
  <si>
    <t>macro\US13W\US13W_daily_1990-01-02_2026-08-21.csv</t>
  </si>
  <si>
    <t>macro\US30Y\US30Y_daily_1990-01-02_2026-08-21.csv</t>
  </si>
  <si>
    <t>macro\US5Y\US5Y_daily_1990-01-02_2026-08-21.csv</t>
  </si>
  <si>
    <t>macro\USDHKD\USDHKD_daily_2001-07-16_2026-08-23.csv</t>
  </si>
  <si>
    <t>macro\USDJPY\USDJPY_daily_1996-10-30_2026-08-21.csv</t>
  </si>
  <si>
    <t>macro\WTI\WTI_daily_2000-08-23_2026-08-21.csv</t>
  </si>
  <si>
    <t>2007-07-30</t>
  </si>
  <si>
    <t>1990-01-01</t>
  </si>
  <si>
    <t>2003-12-01</t>
  </si>
  <si>
    <t>1996-03-18</t>
  </si>
  <si>
    <t>2000-08-30</t>
  </si>
  <si>
    <t>2007-04-11</t>
  </si>
  <si>
    <t>2002-07-30</t>
  </si>
  <si>
    <t>1999-03-10</t>
  </si>
  <si>
    <t>1993-01-29</t>
  </si>
  <si>
    <t>2001-07-16</t>
  </si>
  <si>
    <t>1996-10-30</t>
  </si>
  <si>
    <t>2000-08-23</t>
  </si>
  <si>
    <t>361 KB</t>
  </si>
  <si>
    <t>666 KB</t>
  </si>
  <si>
    <t>418 KB</t>
  </si>
  <si>
    <t>523 KB</t>
  </si>
  <si>
    <t>506 KB</t>
  </si>
  <si>
    <t>546 KB</t>
  </si>
  <si>
    <t>534 KB</t>
  </si>
  <si>
    <t>421 KB</t>
  </si>
  <si>
    <t>496 KB</t>
  </si>
  <si>
    <t>373 KB</t>
  </si>
  <si>
    <t>470 KB</t>
  </si>
  <si>
    <t>483 KB</t>
  </si>
  <si>
    <t>537 KB</t>
  </si>
  <si>
    <t>673 KB</t>
  </si>
  <si>
    <t>477 KB</t>
  </si>
  <si>
    <t>533 KB</t>
  </si>
  <si>
    <t>511 KB</t>
  </si>
  <si>
    <t>524 KB</t>
  </si>
  <si>
    <t>406 KB</t>
  </si>
  <si>
    <t>596 KB</t>
  </si>
  <si>
    <t>481 KB</t>
  </si>
  <si>
    <t>Date; Symbol; Open; High; Low; Close; Volume; OHLC_Consistent; LogReturn</t>
  </si>
  <si>
    <t>panel\DAX_panel_daily.csv</t>
  </si>
  <si>
    <t>panel\HSI_panel_daily.csv</t>
  </si>
  <si>
    <t>panel\NDX_panel_daily.csv</t>
  </si>
  <si>
    <t>panel\NKY_panel_daily.csv</t>
  </si>
  <si>
    <t>panel\SPX_panel_daily.csv</t>
  </si>
  <si>
    <t>panel\UKX_panel_daily.csv</t>
  </si>
  <si>
    <t>Date; Symbol; Open; High; Low; Close; Return; RV_1min; RV_5min; RV_10min; RV_15min; RV_30min; BPV_5min; NBars_5min; RVol_5min; LogRV_5min; CFD_SessionReturn; Overnight_LogRet; HasRV_t; Jump_5min; ContVar_5min; VolIdx; VolIdx_Symbol; VolIdx_Fallback; VolIdx_Fallback_Symbol; US10Y_pct; US13W_pct; DXY; WTI_usd; GOLD_usd; HYG_px; IEF_px; TermSpread_pct; CreditStress; AbsReturn; NegReturn; ParkinsonVar; RangePct</t>
  </si>
  <si>
    <t>Date; Symbol; Open; High; Low; Close; Return; RV_1min; RV_5min; RV_10min; RV_15min; RV_30min; BPV_5min; NBars_5min; RVol_5min; LogRV_5min; CFD_SessionReturn; Overnight_LogRet; HasRV_t; Jump_5min; ContVar_5min; VolIdx; VolIdx_Symbol; US10Y_pct; US13W_pct; DXY; WTI_usd; GOLD_usd; HYG_px; IEF_px; TermSpread_pct; CreditStress; AbsReturn; NegReturn; ParkinsonVar; RangePct</t>
  </si>
  <si>
    <t>daily/&lt;CODE&gt;/&lt;CODE&gt;_daily_&lt;first&gt;_&lt;last&gt;.csv</t>
  </si>
  <si>
    <t>daily/...</t>
  </si>
  <si>
    <t>volatility/&lt;CODE&gt;/&lt;CODE&gt;_daily_*.csv</t>
  </si>
  <si>
    <t>volatility/...</t>
  </si>
  <si>
    <t>intraday/{1min,5min}/&lt;CODE&gt;/&lt;CODE&gt;_{tf}_&lt;YYYY&gt;.csv</t>
  </si>
  <si>
    <t>intraday/...</t>
  </si>
  <si>
    <t>realized_volatility/&lt;CODE&gt;_RV_daily.csv</t>
  </si>
  <si>
    <t>realized_volatility/...</t>
  </si>
  <si>
    <t>Date</t>
  </si>
  <si>
    <t>Symbol</t>
  </si>
  <si>
    <t>Open/High/Low/Close</t>
  </si>
  <si>
    <t>Adj Close</t>
  </si>
  <si>
    <t>Volume</t>
  </si>
  <si>
    <t>LogReturn</t>
  </si>
  <si>
    <t>Open/High/Low</t>
  </si>
  <si>
    <t>Close</t>
  </si>
  <si>
    <t>ts_utc</t>
  </si>
  <si>
    <t>ts_local</t>
  </si>
  <si>
    <t>NBars1min</t>
  </si>
  <si>
    <t>RV_{1,5,10,15,30}min</t>
  </si>
  <si>
    <t>BPV_{...}min</t>
  </si>
  <si>
    <t>NBars_{...}min</t>
  </si>
  <si>
    <t>RVol_5min / LogRV_5min</t>
  </si>
  <si>
    <t>Open/High/Low/Close_sess</t>
  </si>
  <si>
    <t>CloseToClose_LogRet</t>
  </si>
  <si>
    <t>Overnight_LogRet</t>
  </si>
  <si>
    <t>date</t>
  </si>
  <si>
    <t>str</t>
  </si>
  <si>
    <t>float</t>
  </si>
  <si>
    <t>int</t>
  </si>
  <si>
    <t>datetime(UTC)</t>
  </si>
  <si>
    <t>datetime(tz)</t>
  </si>
  <si>
    <t>Trading date, ISO</t>
  </si>
  <si>
    <t>Internal index code (SPX/NDX/UKX/DAX/NKY/HSI)</t>
  </si>
  <si>
    <t>Index level, as published</t>
  </si>
  <si>
    <t>Split/dividend adjusted (equals Close for price indices)</t>
  </si>
  <si>
    <t>Exchange volume where published; 0 for some indices</t>
  </si>
  <si>
    <t>ln(Close_t/Close_{t-1}); first row empty</t>
  </si>
  <si>
    <t>Trading date</t>
  </si>
  <si>
    <t>Vol index code</t>
  </si>
  <si>
    <t>Empty when the provider publishes close only (VVIX, SKEW, OVX, GVZ, V2TX, V1X, V6I1)</t>
  </si>
  <si>
    <t>Index level in annualised volatility points</t>
  </si>
  <si>
    <t>Session date in exchange-local time</t>
  </si>
  <si>
    <t>Index code</t>
  </si>
  <si>
    <t>Bar START timestamp in UTC. JOIN ON THIS.</t>
  </si>
  <si>
    <t>Same instant in exchange-local time, DST-aware</t>
  </si>
  <si>
    <t>CFD BID price, already de-scaled from the int32 /1000 encoding</t>
  </si>
  <si>
    <t>Dukascopy tick volume - relative activity, not a share count</t>
  </si>
  <si>
    <t>Session date</t>
  </si>
  <si>
    <t>Surviving 1-min bars after session+stale filtering. QUALITY FLAG.</t>
  </si>
  <si>
    <t>Realized variance at that sampling interval (daily units)</t>
  </si>
  <si>
    <t>Realized bipower variation - jump robust</t>
  </si>
  <si>
    <t>Bars used at that sampling interval</t>
  </si>
  <si>
    <t>sqrt and ln of RV_5min</t>
  </si>
  <si>
    <t>Session OHLC built from the intraday bars</t>
  </si>
  <si>
    <t>ln(Close_sess_t / Close_sess_{t-1})</t>
  </si>
  <si>
    <t>ln(Open_sess_t / Close_sess_{t-1})</t>
  </si>
  <si>
    <t>Table</t>
  </si>
  <si>
    <t>Column</t>
  </si>
  <si>
    <t>Type</t>
  </si>
  <si>
    <t>Description</t>
  </si>
  <si>
    <t>What this folder is</t>
  </si>
  <si>
    <t>Join rule</t>
  </si>
  <si>
    <t>Missingness</t>
  </si>
  <si>
    <t>No look-ahead</t>
  </si>
  <si>
    <t>Overnight caveat</t>
  </si>
  <si>
    <t>Rebuild</t>
  </si>
  <si>
    <t>data/panel/&lt;CODE&gt;_panel_daily.csv is the analysis-ready join of daily prices, realized measures, the regional volatility index and the macro factors - one row per index trading day. Start modelling from these files, not from the raw folders.</t>
  </si>
  <si>
    <t>The exchange DAILY file is the spine. Everything else is LEFT-joined on Date. The dependent variable is the index return, so the sample must be exactly the days the index traded.</t>
  </si>
  <si>
    <t>RV_5min is NaN on spine days where the CFD feed had no clean session. It is deliberately NOT filled or interpolated. Filter on HasRV_t.</t>
  </si>
  <si>
    <t>Every predictor is dated at the CLOSE of day t and is meant to forecast t+1. This file does not lag anything - the modelling code must apply the lag.</t>
  </si>
  <si>
    <t>Overnight_LogRet spans close(t-1) -&gt; open(t). It is dated t but known at the open of t. Treat it as the first observable piece of day t.</t>
  </si>
  <si>
    <t>python data/_scripts/10_build_master_panel.py</t>
  </si>
  <si>
    <t>Open High Low Close</t>
  </si>
  <si>
    <t>Return</t>
  </si>
  <si>
    <t>RV_1min .. RV_30min</t>
  </si>
  <si>
    <t>BPV_5min</t>
  </si>
  <si>
    <t>Jump_5min</t>
  </si>
  <si>
    <t>ContVar_5min</t>
  </si>
  <si>
    <t>NBars_5min</t>
  </si>
  <si>
    <t>HasRV_t</t>
  </si>
  <si>
    <t>CFD_SessionReturn</t>
  </si>
  <si>
    <t>VolIdx / VolIdx_Symbol</t>
  </si>
  <si>
    <t>VolIdx_Fallback</t>
  </si>
  <si>
    <t>US10Y_pct US13W_pct</t>
  </si>
  <si>
    <t>TermSpread_pct</t>
  </si>
  <si>
    <t>DXY WTI_usd GOLD_usd</t>
  </si>
  <si>
    <t>HYG_px IEF_px</t>
  </si>
  <si>
    <t>CreditStress</t>
  </si>
  <si>
    <t>AbsReturn NegReturn</t>
  </si>
  <si>
    <t>ParkinsonVar</t>
  </si>
  <si>
    <t>RangePct</t>
  </si>
  <si>
    <t>spine</t>
  </si>
  <si>
    <t>realized</t>
  </si>
  <si>
    <t>cross-ref</t>
  </si>
  <si>
    <t>implied</t>
  </si>
  <si>
    <t>macro</t>
  </si>
  <si>
    <t>derived</t>
  </si>
  <si>
    <t>Index trading day. The exchange daily file is the spine; everything else is LEFT-joined onto it, so the sample is exactly the days the index traded.</t>
  </si>
  <si>
    <t>Exchange index daily OHLC (Yahoo).</t>
  </si>
  <si>
    <t>Daily log return of the exchange index close. THE DEPENDENT VARIABLE.</t>
  </si>
  <si>
    <t>Realized variance from session-filtered CFD bars at 1/5/10/15/30-min sampling. 5-min is the modelling frequency; the others exist so the volatility signature plot can justify that choice.</t>
  </si>
  <si>
    <t>Realized bipower variation (Barndorff-Nielsen &amp; Shephard). Jump-robust.</t>
  </si>
  <si>
    <t>max(RV_5min - BPV_5min, 0). The jump component.</t>
  </si>
  <si>
    <t>RV_5min - Jump_5min. The continuous component.</t>
  </si>
  <si>
    <t>Bars used. Median should be 78 (SPX/NDX), 102 (UKX), 102 (DAX), 60 (NKY), 66 (HSI). A short count means a half-day or a feed hole.</t>
  </si>
  <si>
    <t>sqrt(RV_5min) and log(RV_5min). Realized GARCH is usually specified in logs.</t>
  </si>
  <si>
    <t>False where no clean CFD session existed for that index trading day. Honest missingness - NOT filled.</t>
  </si>
  <si>
    <t>CFD session close-to-close return. For diagnostics only. Never use as the dependent variable - see the CFD_vs_Index sheet.</t>
  </si>
  <si>
    <t>close(t-1) -&gt; open(t). Dated t but known at the OPEN of t. It is the first observable piece of day t, not day-t close information.</t>
  </si>
  <si>
    <t>The regional implied-vol index and which symbol it actually is. The symbol column exists so a proxy substitution is never invisible.</t>
  </si>
  <si>
    <t>Secondary vol index where the primary has short history (NKVI starts 2018) or is a proxy.</t>
  </si>
  <si>
    <t>US Treasury yields IN PERCENT. Yahoo used to quote ^TNX as percent x 10; it no longer does. Do NOT divide by 10.</t>
  </si>
  <si>
    <t>US10Y_pct - US13W_pct.</t>
  </si>
  <si>
    <t>Dollar index, WTI crude, COMEX gold. Close only - Yahoo's OHLC is unreliable for FX/futures, see Risks.</t>
  </si>
  <si>
    <t>High-yield and 7-10y Treasury ETF prices.</t>
  </si>
  <si>
    <t>-(dlog HYG - dlog IEF). High-yield underperformance vs duration-matched Treasuries. Rises with credit stress, same sign as a widening HY OAS. Keyless stand-in for FRED BAMLH0A0HYM2.</t>
  </si>
  <si>
    <t>|r| and the negative part of r. NegReturn is the leverage/asymmetry term for GJR and for quantile regression.</t>
  </si>
  <si>
    <t>log(H/L)^2 / (4 log 2). A range-based variance estimator available on every day back to 1990, including days with no RV.</t>
  </si>
  <si>
    <t>100*(High-Low)/Close.</t>
  </si>
  <si>
    <t>Column(s)</t>
  </si>
  <si>
    <t>Group</t>
  </si>
  <si>
    <t>Meaning and how to use it</t>
  </si>
  <si>
    <t>RV_5min</t>
  </si>
  <si>
    <t>RV_1/10/15/30min</t>
  </si>
  <si>
    <t>RVol_5min</t>
  </si>
  <si>
    <t>LogRV_5min</t>
  </si>
  <si>
    <t>z_t (std. residual)</t>
  </si>
  <si>
    <t>Tail exceedance</t>
  </si>
  <si>
    <t>VIX level and term-structure slope</t>
  </si>
  <si>
    <t>ln(Close_t / Close_{t-1})</t>
  </si>
  <si>
    <t>sum over the session of (5-min log return)^2</t>
  </si>
  <si>
    <t>same at other sampling intervals</t>
  </si>
  <si>
    <t>(pi/2) * sum |r_i| * |r_{i-1}|</t>
  </si>
  <si>
    <t>sqrt(RV_5min)</t>
  </si>
  <si>
    <t>ln(RV_5min)</t>
  </si>
  <si>
    <t>r_t / sigma_hat_t from the fitted GARCH</t>
  </si>
  <si>
    <t>y_i = z_i - u for z_i &gt; u, u at the 90-95th pct</t>
  </si>
  <si>
    <t>VIX close; VIX9D/VIX3M ratio</t>
  </si>
  <si>
    <t>daily/&lt;CODE&gt;_daily_*.csv</t>
  </si>
  <si>
    <t>realized_volatility/</t>
  </si>
  <si>
    <t>produced in modelling</t>
  </si>
  <si>
    <t>volatility/</t>
  </si>
  <si>
    <t>GARCH, GJR, EGARCH, EVT, QR</t>
  </si>
  <si>
    <t>Realized GARCH; QLIKE/RMSE target</t>
  </si>
  <si>
    <t>Sampling-frequency robustness; volatility signature plot</t>
  </si>
  <si>
    <t>Jump-robust volatility; RV minus BPV gives a jump measure</t>
  </si>
  <si>
    <t>Plots, comparability</t>
  </si>
  <si>
    <t>Realized GARCH measurement equation</t>
  </si>
  <si>
    <t>Optional RV scaling to full-day variance</t>
  </si>
  <si>
    <t>EVT stage-2 input</t>
  </si>
  <si>
    <t>GPD fit</t>
  </si>
  <si>
    <t>QR predictors</t>
  </si>
  <si>
    <t>Computed on index Close. Already present as a column.</t>
  </si>
  <si>
    <t>PRIMARY realized measure. 78 bars/session for SPX/NDX.</t>
  </si>
  <si>
    <t>Included so the referee ask is already answered.</t>
  </si>
  <si>
    <t>Realized bipower variation.</t>
  </si>
  <si>
    <t>Hansen-Huang use the log form.</t>
  </si>
  <si>
    <t>Session RV excludes the overnight gap. Decide explicitly whether to add it.</t>
  </si>
  <si>
    <t>Not a download - generated downstream.</t>
  </si>
  <si>
    <t>Needs ~2500 obs for ~100 exceedances at 95%.</t>
  </si>
  <si>
    <t>Must be lagged - use day t close to predict t+1.</t>
  </si>
  <si>
    <t>Variable</t>
  </si>
  <si>
    <t>Formula</t>
  </si>
  <si>
    <t>Source_Table</t>
  </si>
  <si>
    <t>Used_By</t>
  </si>
  <si>
    <t>Notes</t>
  </si>
  <si>
    <t>C1_schema</t>
  </si>
  <si>
    <t>C2_unique</t>
  </si>
  <si>
    <t>C3_monotonic</t>
  </si>
  <si>
    <t>C4_ranges</t>
  </si>
  <si>
    <t>C5_continuity</t>
  </si>
  <si>
    <t>PASS</t>
  </si>
  <si>
    <t>WARN</t>
  </si>
  <si>
    <t>9270 rows</t>
  </si>
  <si>
    <t>0</t>
  </si>
  <si>
    <t>ok</t>
  </si>
  <si>
    <t>max_gap=6d; gaps&gt;14d=0</t>
  </si>
  <si>
    <t>9041 rows</t>
  </si>
  <si>
    <t>9227 rows</t>
  </si>
  <si>
    <t>max_gap=7d; gaps&gt;14d=0</t>
  </si>
  <si>
    <t>8990 rows</t>
  </si>
  <si>
    <t>max_gap=11d; gaps&gt;14d=0</t>
  </si>
  <si>
    <t>9255 rows</t>
  </si>
  <si>
    <t>max_gap=5d; gaps&gt;14d=0</t>
  </si>
  <si>
    <t>4255 rows</t>
  </si>
  <si>
    <t>min=8.88 max=48.98 out_of_(0,250]=0</t>
  </si>
  <si>
    <t>2088 rows</t>
  </si>
  <si>
    <t>min=12.98 max=70.69 out_of_(0,250]=0</t>
  </si>
  <si>
    <t>min=14.50 max=325.15 out_of_(0,250]=1</t>
  </si>
  <si>
    <t>4254 rows</t>
  </si>
  <si>
    <t>min=11.83 max=83.19 out_of_(0,250]=0</t>
  </si>
  <si>
    <t>9211 rows</t>
  </si>
  <si>
    <t>min=101.23 max=183.12 out_of_(0,250]=0</t>
  </si>
  <si>
    <t>max_gap=13d; gaps&gt;14d=0</t>
  </si>
  <si>
    <t>5474 rows</t>
  </si>
  <si>
    <t>min=10.98 max=86.01 out_of_(0,250]=0</t>
  </si>
  <si>
    <t>7035 rows</t>
  </si>
  <si>
    <t>min=10.68 max=87.51 out_of_(0,250]=0</t>
  </si>
  <si>
    <t>6329 rows</t>
  </si>
  <si>
    <t>min=9.54 max=120.84 out_of_(0,250]=0</t>
  </si>
  <si>
    <t>max_gap=9d; gaps&gt;14d=0</t>
  </si>
  <si>
    <t>4257 rows</t>
  </si>
  <si>
    <t>min=11.85 max=72.98 out_of_(0,250]=0</t>
  </si>
  <si>
    <t>4689 rows</t>
  </si>
  <si>
    <t>min=13.75 max=61.47 out_of_(0,250]=0</t>
  </si>
  <si>
    <t>3931 rows</t>
  </si>
  <si>
    <t>min=7.10 max=106.66 out_of_(0,250]=0</t>
  </si>
  <si>
    <t>9256 rows</t>
  </si>
  <si>
    <t>min=9.14 max=82.69 out_of_(0,250]=0</t>
  </si>
  <si>
    <t>5088 rows</t>
  </si>
  <si>
    <t>min=15.71 max=207.59 out_of_(0,250]=0</t>
  </si>
  <si>
    <t>max_gap=21d; gaps&gt;14d=2</t>
  </si>
  <si>
    <t>min=2.71 max=67.07 out_of_(0,250]=0</t>
  </si>
  <si>
    <t>3878 rows</t>
  </si>
  <si>
    <t>min=13.11 max=92.46 out_of_(0,250]=0</t>
  </si>
  <si>
    <t>4685 rows</t>
  </si>
  <si>
    <t>min=7.62 max=81.02 out_of_(0,250]=0</t>
  </si>
  <si>
    <t>4263 rows</t>
  </si>
  <si>
    <t>min=10.31 max=80.08 out_of_(0,250]=0</t>
  </si>
  <si>
    <t>3307 rows</t>
  </si>
  <si>
    <t>ann_vol median=10.9% p99=37.8% max=92.7%; nonpos=0; &gt;300%=0</t>
  </si>
  <si>
    <t>median_bars=102; days_with&lt;50%bars=4 (0.1%)</t>
  </si>
  <si>
    <t>3576 rows</t>
  </si>
  <si>
    <t>ann_vol median=11.8% p99=33.8% max=86.4%; nonpos=0; &gt;300%=0</t>
  </si>
  <si>
    <t>median_bars=66; days_with&lt;50%bars=42 (1.2%)</t>
  </si>
  <si>
    <t>3733 rows</t>
  </si>
  <si>
    <t>ann_vol median=11.0% p99=42.9% max=109.0%; nonpos=0; &gt;300%=0</t>
  </si>
  <si>
    <t>median_bars=78; days_with&lt;50%bars=26 (0.7%)</t>
  </si>
  <si>
    <t>3543 rows</t>
  </si>
  <si>
    <t>ann_vol median=9.4% p99=35.3% max=92.6%; nonpos=0; &gt;300%=0</t>
  </si>
  <si>
    <t>median_bars=60; days_with&lt;50%bars=8 (0.2%)</t>
  </si>
  <si>
    <t>3755 rows</t>
  </si>
  <si>
    <t>ann_vol median=8.1% p99=34.8% max=102.7%; nonpos=0; &gt;300%=0</t>
  </si>
  <si>
    <t>median_bars=78; days_with&lt;50%bars=33 (0.9%)</t>
  </si>
  <si>
    <t>3728 rows</t>
  </si>
  <si>
    <t>ann_vol median=8.9% p99=28.0% max=81.5%; nonpos=0; &gt;300%=0</t>
  </si>
  <si>
    <t>median_bars=102; days_with&lt;50%bars=21 (0.6%)</t>
  </si>
  <si>
    <t>4745 rows</t>
  </si>
  <si>
    <t>OHLC_violations:69</t>
  </si>
  <si>
    <t>max_gap=17d; gaps&gt;14d=1</t>
  </si>
  <si>
    <t>9336 rows</t>
  </si>
  <si>
    <t>min=71.3300 max=120.9000</t>
  </si>
  <si>
    <t>5896 rows</t>
  </si>
  <si>
    <t>OHLC_violations:128</t>
  </si>
  <si>
    <t>max_gap=18d; gaps&gt;14d=1</t>
  </si>
  <si>
    <t>7657 rows</t>
  </si>
  <si>
    <t>min=8.2500 max=44.5600</t>
  </si>
  <si>
    <t>min=5.5625 max=28.1000</t>
  </si>
  <si>
    <t>min=24.9600 max=98.4700</t>
  </si>
  <si>
    <t>min=18.0000 max=54.4400</t>
  </si>
  <si>
    <t>5909 rows</t>
  </si>
  <si>
    <t>OHLC_violations:103</t>
  </si>
  <si>
    <t>6518 rows</t>
  </si>
  <si>
    <t>OHLC_violations:441</t>
  </si>
  <si>
    <t>4873 rows</t>
  </si>
  <si>
    <t>min=61.6400 max=106.0900</t>
  </si>
  <si>
    <t>6055 rows</t>
  </si>
  <si>
    <t>min=79.5900 max=123.0600</t>
  </si>
  <si>
    <t>min=81.7000 max=139.1500</t>
  </si>
  <si>
    <t>6906 rows</t>
  </si>
  <si>
    <t>min=20.0600 max=746.1600</t>
  </si>
  <si>
    <t>8448 rows</t>
  </si>
  <si>
    <t>min=43.4062 max=777.8800</t>
  </si>
  <si>
    <t>min=80.6500 max=171.5700</t>
  </si>
  <si>
    <t>9196 rows</t>
  </si>
  <si>
    <t>min=0.4990 max=9.0900</t>
  </si>
  <si>
    <t>|logret|&gt;50%:271</t>
  </si>
  <si>
    <t>min=0.9370 max=9.1800</t>
  </si>
  <si>
    <t>min=0.1950 max=9.1000</t>
  </si>
  <si>
    <t>6355 rows</t>
  </si>
  <si>
    <t>OHLC_violations:115</t>
  </si>
  <si>
    <t>max_gap=214d; gaps&gt;14d=2</t>
  </si>
  <si>
    <t>7730 rows</t>
  </si>
  <si>
    <t>OHLC_violations:275</t>
  </si>
  <si>
    <t>6527 rows</t>
  </si>
  <si>
    <t>OHLC_violations:7</t>
  </si>
  <si>
    <t>29416 bars</t>
  </si>
  <si>
    <t>nonpos=0; OHLC_violations=0; bars_with_|r|&gt;10%=0; px range 8502.7-9599.0</t>
  </si>
  <si>
    <t>63 session-days; mean 466.9 bars/day; 2013-09-30 15:13:00+00:00 -&gt; 2013-12-30 16:29:00+00:00</t>
  </si>
  <si>
    <t>128797 bars</t>
  </si>
  <si>
    <t>nonpos=0; OHLC_violations=0; bars_with_|r|&gt;10%=0; px range 8363.5-10092.0</t>
  </si>
  <si>
    <t>255 session-days; mean 505.1 bars/day; 2014-01-02 08:00:00+00:00 -&gt; 2014-12-30 16:29:00+00:00</t>
  </si>
  <si>
    <t>129928 bars</t>
  </si>
  <si>
    <t>nonpos=0; OHLC_violations=0; bars_with_|r|&gt;10%=0; px range 9332.0-12393.5</t>
  </si>
  <si>
    <t>255 session-days; mean 509.5 bars/day; 2015-01-02 08:00:00+00:00 -&gt; 2015-12-30 16:29:00+00:00</t>
  </si>
  <si>
    <t>130381 bars</t>
  </si>
  <si>
    <t>nonpos=0; OHLC_violations=0; bars_with_|r|&gt;10%=0; px range 8698.5-11480.2</t>
  </si>
  <si>
    <t>256 session-days; mean 509.3 bars/day; 2016-01-04 08:00:00+00:00 -&gt; 2016-12-30 16:29:00+00:00</t>
  </si>
  <si>
    <t>129309 bars</t>
  </si>
  <si>
    <t>nonpos=0; OHLC_violations=0; bars_with_|r|&gt;10%=0; px range 11417.8-13522.8</t>
  </si>
  <si>
    <t>254 session-days; mean 509.1 bars/day; 2017-01-02 08:00:00+00:00 -&gt; 2017-12-29 16:29:00+00:00</t>
  </si>
  <si>
    <t>128769 bars</t>
  </si>
  <si>
    <t>nonpos=0; OHLC_violations=0; bars_with_|r|&gt;10%=0; px range 10279.7-13596.3</t>
  </si>
  <si>
    <t>253 session-days; mean 509.0 bars/day; 2018-01-02 08:00:00+00:00 -&gt; 2018-12-28 16:29:00+00:00</t>
  </si>
  <si>
    <t>130637 bars</t>
  </si>
  <si>
    <t>nonpos=0; OHLC_violations=0; bars_with_|r|&gt;10%=0; px range 10388.4-13424.7</t>
  </si>
  <si>
    <t>258 session-days; mean 506.3 bars/day; 2019-01-02 08:00:00+00:00 -&gt; 2019-12-31 16:29:00+00:00</t>
  </si>
  <si>
    <t>131794 bars</t>
  </si>
  <si>
    <t>nonpos=0; OHLC_violations=0; bars_with_|r|&gt;10%=0; px range 8248.9-13905.3</t>
  </si>
  <si>
    <t>259 session-days; mean 508.9 bars/day; 2020-01-02 08:00:00+00:00 -&gt; 2020-12-31 16:29:00+00:00</t>
  </si>
  <si>
    <t>131489 bars</t>
  </si>
  <si>
    <t>nonpos=0; OHLC_violations=0; bars_with_|r|&gt;10%=0; px range 13311.2-16288.9</t>
  </si>
  <si>
    <t>258 session-days; mean 509.6 bars/day; 2021-01-04 08:00:00+00:00 -&gt; 2021-12-31 16:29:00+00:00</t>
  </si>
  <si>
    <t>131562 bars</t>
  </si>
  <si>
    <t>nonpos=0; OHLC_violations=0; bars_with_|r|&gt;10%=0; px range 11861.4-16284.8</t>
  </si>
  <si>
    <t>258 session-days; mean 509.9 bars/day; 2022-01-03 08:00:00+00:00 -&gt; 2022-12-30 16:29:00+00:00</t>
  </si>
  <si>
    <t>130505 bars</t>
  </si>
  <si>
    <t>nonpos=0; OHLC_violations=0; bars_with_|r|&gt;10%=0; px range 13976.8-16999.9</t>
  </si>
  <si>
    <t>256 session-days; mean 509.8 bars/day; 2023-01-02 08:00:00+00:00 -&gt; 2023-12-29 16:29:00+00:00</t>
  </si>
  <si>
    <t>131951 bars</t>
  </si>
  <si>
    <t>nonpos=0; OHLC_violations=0; bars_with_|r|&gt;10%=0; px range 16346.8-20522.2</t>
  </si>
  <si>
    <t>259 session-days; mean 509.5 bars/day; 2024-01-02 08:00:00+00:00 -&gt; 2024-12-31 16:29:00+00:00</t>
  </si>
  <si>
    <t>131340 bars</t>
  </si>
  <si>
    <t>nonpos=0; OHLC_violations=0; bars_with_|r|&gt;10%=0; px range 18875.2-24769.8</t>
  </si>
  <si>
    <t>258 session-days; mean 509.1 bars/day; 2025-01-02 08:00:00+00:00 -&gt; 2025-12-31 16:29:00+00:00</t>
  </si>
  <si>
    <t>84048 bars</t>
  </si>
  <si>
    <t>nonpos=0; OHLC_violations=0; bars_with_|r|&gt;10%=0; px range 21865.4-26575.3</t>
  </si>
  <si>
    <t>165 session-days; mean 509.4 bars/day; 2026-01-02 08:00:00+00:00 -&gt; 2026-08-21 15:29:00+00:00</t>
  </si>
  <si>
    <t>1504 bars</t>
  </si>
  <si>
    <t>nonpos=0; OHLC_violations=0; bars_with_|r|&gt;10%=0; px range 17383.2-19415.0</t>
  </si>
  <si>
    <t>5 session-days; mean 300.8 bars/day; 2011-09-19 01:30:00+00:00 -&gt; 2011-09-23 07:59:00+00:00</t>
  </si>
  <si>
    <t>73094 bars</t>
  </si>
  <si>
    <t>nonpos=0; OHLC_violations=0; bars_with_|r|&gt;10%=0; px range 18056.4-22716.4</t>
  </si>
  <si>
    <t>225 session-days; mean 324.9 bars/day; 2012-02-06 01:30:00+00:00 -&gt; 2012-12-31 03:59:00+00:00</t>
  </si>
  <si>
    <t>75777 bars</t>
  </si>
  <si>
    <t>nonpos=0; OHLC_violations=0; bars_with_|r|&gt;10%=0; px range 19429.0-24088.0</t>
  </si>
  <si>
    <t>233 session-days; mean 325.2 bars/day; 2013-01-02 01:30:00+00:00 -&gt; 2013-12-31 03:59:00+00:00</t>
  </si>
  <si>
    <t>79941 bars</t>
  </si>
  <si>
    <t>nonpos=0; OHLC_violations=0; bars_with_|r|&gt;10%=0; px range 21121.0-25380.0</t>
  </si>
  <si>
    <t>245 session-days; mean 326.3 bars/day; 2014-01-02 07:00:00+00:00 -&gt; 2014-12-31 03:59:00+00:00</t>
  </si>
  <si>
    <t>81888 bars</t>
  </si>
  <si>
    <t>nonpos=0; OHLC_violations=0; bars_with_|r|&gt;10%=0; px range 20348.0-28604.1</t>
  </si>
  <si>
    <t>255 session-days; mean 321.1 bars/day; 2015-01-02 01:30:00+00:00 -&gt; 2015-12-31 03:59:00+00:00</t>
  </si>
  <si>
    <t>80480 bars</t>
  </si>
  <si>
    <t>nonpos=0; OHLC_violations=0; bars_with_|r|&gt;10%=0; px range 18286.5-24382.0</t>
  </si>
  <si>
    <t>245 session-days; mean 328.5 bars/day; 2016-01-04 01:30:00+00:00 -&gt; 2016-12-30 07:59:00+00:00</t>
  </si>
  <si>
    <t>79787 bars</t>
  </si>
  <si>
    <t>nonpos=0; OHLC_violations=0; bars_with_|r|&gt;10%=0; px range 22050.6-30217.0</t>
  </si>
  <si>
    <t>244 session-days; mean 327.0 bars/day; 2017-01-04 03:09:00+00:00 -&gt; 2017-12-29 07:59:00+00:00</t>
  </si>
  <si>
    <t>80496 bars</t>
  </si>
  <si>
    <t>nonpos=0; OHLC_violations=0; bars_with_|r|&gt;10%=0; px range 24532.9-33430.1</t>
  </si>
  <si>
    <t>247 session-days; mean 325.9 bars/day; 2018-01-02 01:35:00+00:00 -&gt; 2018-12-31 03:59:00+00:00</t>
  </si>
  <si>
    <t>80652 bars</t>
  </si>
  <si>
    <t>nonpos=0; OHLC_violations=0; bars_with_|r|&gt;10%=0; px range 24858.3-30301.0</t>
  </si>
  <si>
    <t>247 session-days; mean 326.5 bars/day; 2019-01-02 01:30:00+00:00 -&gt; 2019-12-31 03:59:00+00:00</t>
  </si>
  <si>
    <t>80986 bars</t>
  </si>
  <si>
    <t>nonpos=0; OHLC_violations=0; bars_with_|r|&gt;10%=0; px range 20963.9-29131.4</t>
  </si>
  <si>
    <t>248 session-days; mean 326.6 bars/day; 2020-01-02 01:30:00+00:00 -&gt; 2020-12-31 03:59:00+00:00</t>
  </si>
  <si>
    <t>80761 bars</t>
  </si>
  <si>
    <t>nonpos=0; OHLC_violations=0; bars_with_|r|&gt;10%=0; px range 22668.1-31073.4</t>
  </si>
  <si>
    <t>247 session-days; mean 327.0 bars/day; 2021-01-04 01:30:00+00:00 -&gt; 2021-12-31 03:59:00+00:00</t>
  </si>
  <si>
    <t>80363 bars</t>
  </si>
  <si>
    <t>nonpos=0; OHLC_violations=0; bars_with_|r|&gt;10%=0; px range 14619.5-24969.2</t>
  </si>
  <si>
    <t>245 session-days; mean 328.0 bars/day; 2022-01-04 01:30:00+00:00 -&gt; 2022-12-30 07:59:00+00:00</t>
  </si>
  <si>
    <t>79956 bars</t>
  </si>
  <si>
    <t>nonpos=0; OHLC_violations=0; bars_with_|r|&gt;10%=0; px range 15976.0-22663.3</t>
  </si>
  <si>
    <t>243 session-days; mean 329.0 bars/day; 2023-01-03 01:30:00+00:00 -&gt; 2023-12-29 07:59:00+00:00</t>
  </si>
  <si>
    <t>80539 bars</t>
  </si>
  <si>
    <t>nonpos=0; OHLC_violations=0; bars_with_|r|&gt;10%=0; px range 14792.6-23234.0</t>
  </si>
  <si>
    <t>246 session-days; mean 327.4 bars/day; 2024-01-02 01:30:00+00:00 -&gt; 2024-12-31 03:59:00+00:00</t>
  </si>
  <si>
    <t>80268 bars</t>
  </si>
  <si>
    <t>nonpos=0; OHLC_violations=0; bars_with_|r|&gt;10%=0; px range 18675.3-27375.1</t>
  </si>
  <si>
    <t>245 session-days; mean 327.6 bars/day; 2025-01-02 01:30:00+00:00 -&gt; 2025-12-31 03:59:00+00:00</t>
  </si>
  <si>
    <t>51204 bars</t>
  </si>
  <si>
    <t>nonpos=0; OHLC_violations=0; bars_with_|r|&gt;10%=0; px range 22522.7-28047.0</t>
  </si>
  <si>
    <t>156 session-days; mean 328.2 bars/day; 2026-01-02 01:30:00+00:00 -&gt; 2026-08-21 07:59:00+00:00</t>
  </si>
  <si>
    <t>1508 bars</t>
  </si>
  <si>
    <t>nonpos=0; OHLC_violations=0; bars_with_|r|&gt;10%=0; px range 2161.0-2336.8</t>
  </si>
  <si>
    <t>4 session-days; mean 377.0 bars/day; 2011-09-19 13:30:00+00:00 -&gt; 2011-09-22 19:12:00+00:00</t>
  </si>
  <si>
    <t>91726 bars</t>
  </si>
  <si>
    <t>nonpos=0; OHLC_violations=0; bars_with_|r|&gt;10%=0; px range 2423.8-2878.1</t>
  </si>
  <si>
    <t>238 session-days; mean 385.4 bars/day; 2012-01-19 16:15:00+00:00 -&gt; 2012-12-31 20:59:00+00:00</t>
  </si>
  <si>
    <t>86950 bars</t>
  </si>
  <si>
    <t>nonpos=0; OHLC_violations=0; bars_with_|r|&gt;10%=0; px range 2700.7-3591.2</t>
  </si>
  <si>
    <t>241 session-days; mean 360.8 bars/day; 2013-01-02 14:30:00+00:00 -&gt; 2013-12-31 20:59:00+00:00</t>
  </si>
  <si>
    <t>95409 bars</t>
  </si>
  <si>
    <t>nonpos=0; OHLC_violations=0; bars_with_|r|&gt;10%=0; px range 3413.5-4345.9</t>
  </si>
  <si>
    <t>255 session-days; mean 374.2 bars/day; 2014-01-02 14:30:00+00:00 -&gt; 2014-12-31 19:00:00+00:00</t>
  </si>
  <si>
    <t>98748 bars</t>
  </si>
  <si>
    <t>nonpos=0; OHLC_violations=0; bars_with_|r|&gt;10%=0; px range 3951.7-4739.4</t>
  </si>
  <si>
    <t>258 session-days; mean 382.7 bars/day; 2015-01-02 14:30:00+00:00 -&gt; 2015-12-31 18:00:00+00:00</t>
  </si>
  <si>
    <t>99266 bars</t>
  </si>
  <si>
    <t>nonpos=0; OHLC_violations=0; bars_with_|r|&gt;10%=0; px range 3889.9-4991.4</t>
  </si>
  <si>
    <t>258 session-days; mean 384.8 bars/day; 2016-01-04 14:30:00+00:00 -&gt; 2016-12-30 20:59:00+00:00</t>
  </si>
  <si>
    <t>97010 bars</t>
  </si>
  <si>
    <t>nonpos=0; OHLC_violations=0; bars_with_|r|&gt;10%=0; px range 4882.0-6521.0</t>
  </si>
  <si>
    <t>253 session-days; mean 383.4 bars/day; 2017-01-03 14:30:00+00:00 -&gt; 2017-12-29 20:59:00+00:00</t>
  </si>
  <si>
    <t>98188 bars</t>
  </si>
  <si>
    <t>nonpos=0; OHLC_violations=0; bars_with_|r|&gt;10%=0; px range 5872.8-7700.3</t>
  </si>
  <si>
    <t>256 session-days; mean 383.5 bars/day; 2018-01-02 14:30:00+00:00 -&gt; 2018-12-31 20:59:00+00:00</t>
  </si>
  <si>
    <t>99039 bars</t>
  </si>
  <si>
    <t>nonpos=0; OHLC_violations=0; bars_with_|r|&gt;10%=0; px range 6146.8-8805.4</t>
  </si>
  <si>
    <t>258 session-days; mean 383.9 bars/day; 2019-01-02 14:30:00+00:00 -&gt; 2019-12-31 20:59:00+00:00</t>
  </si>
  <si>
    <t>99533 bars</t>
  </si>
  <si>
    <t>nonpos=0; OHLC_violations=0; bars_with_|r|&gt;10%=1; px range 6771.1-12921.1</t>
  </si>
  <si>
    <t>259 session-days; mean 384.3 bars/day; 2020-01-02 14:30:00+00:00 -&gt; 2020-12-31 20:59:00+00:00</t>
  </si>
  <si>
    <t>99368 bars</t>
  </si>
  <si>
    <t>nonpos=0; OHLC_violations=0; bars_with_|r|&gt;10%=0; px range 12215.6-16757.5</t>
  </si>
  <si>
    <t>258 session-days; mean 385.1 bars/day; 2021-01-04 14:30:00+00:00 -&gt; 2021-12-31 20:59:00+00:00</t>
  </si>
  <si>
    <t>99174 bars</t>
  </si>
  <si>
    <t>nonpos=0; OHLC_violations=0; bars_with_|r|&gt;10%=0; px range 10441.4-16503.1</t>
  </si>
  <si>
    <t>258 session-days; mean 384.4 bars/day; 2022-01-03 14:30:00+00:00 -&gt; 2022-12-30 20:59:00+00:00</t>
  </si>
  <si>
    <t>98274 bars</t>
  </si>
  <si>
    <t>nonpos=0; OHLC_violations=0; bars_with_|r|&gt;10%=0; px range 10702.8-16953.6</t>
  </si>
  <si>
    <t>256 session-days; mean 383.9 bars/day; 2023-01-03 14:30:00+00:00 -&gt; 2023-12-29 20:59:00+00:00</t>
  </si>
  <si>
    <t>99199 bars</t>
  </si>
  <si>
    <t>nonpos=0; OHLC_violations=0; bars_with_|r|&gt;10%=0; px range 16248.4-22130.8</t>
  </si>
  <si>
    <t>259 session-days; mean 383.0 bars/day; 2024-01-02 14:30:00+00:00 -&gt; 2024-12-31 20:59:00+00:00</t>
  </si>
  <si>
    <t>98411 bars</t>
  </si>
  <si>
    <t>nonpos=0; OHLC_violations=0; bars_with_|r|&gt;10%=0; px range 16567.3-26177.1</t>
  </si>
  <si>
    <t>257 session-days; mean 382.9 bars/day; 2025-01-02 14:30:00+00:00 -&gt; 2025-12-31 20:59:00+00:00</t>
  </si>
  <si>
    <t>63378 bars</t>
  </si>
  <si>
    <t>nonpos=0; OHLC_violations=0; bars_with_|r|&gt;10%=0; px range 22846.7-30750.1</t>
  </si>
  <si>
    <t>165 session-days; mean 384.1 bars/day; 2026-01-02 14:30:00+00:00 -&gt; 2026-08-21 19:59:00+00:00</t>
  </si>
  <si>
    <t>692 bars</t>
  </si>
  <si>
    <t>nonpos=0; OHLC_violations=0; bars_with_|r|&gt;10%=0; px range 8545.5-8770.7</t>
  </si>
  <si>
    <t>3 session-days; mean 230.7 bars/day; 2011-09-20 00:00:00+00:00 -&gt; 2011-09-22 05:59:00+00:00</t>
  </si>
  <si>
    <t>66855 bars</t>
  </si>
  <si>
    <t>nonpos=0; OHLC_violations=0; bars_with_|r|&gt;10%=0; px range 8249.8-10432.3</t>
  </si>
  <si>
    <t>225 session-days; mean 297.1 bars/day; 2012-02-06 00:00:00+00:00 -&gt; 2012-12-28 05:59:00+00:00</t>
  </si>
  <si>
    <t>65815 bars</t>
  </si>
  <si>
    <t>nonpos=0; OHLC_violations=0; bars_with_|r|&gt;10%=0; px range 10398.6-16308.0</t>
  </si>
  <si>
    <t>227 session-days; mean 289.9 bars/day; 2013-01-04 00:00:00+00:00 -&gt; 2013-12-31 05:59:00+00:00</t>
  </si>
  <si>
    <t>75684 bars</t>
  </si>
  <si>
    <t>nonpos=0; OHLC_violations=0; bars_with_|r|&gt;10%=0; px range 13868.0-18018.0</t>
  </si>
  <si>
    <t>256 session-days; mean 295.6 bars/day; 2014-01-02 00:00:00+00:00 -&gt; 2014-12-31 05:59:00+00:00</t>
  </si>
  <si>
    <t>22682 bars</t>
  </si>
  <si>
    <t>nonpos=0; OHLC_violations=0; bars_with_|r|&gt;10%=0; px range 16590.0-20018.3</t>
  </si>
  <si>
    <t>87 session-days; mean 260.7 bars/day; 2015-01-02 00:00:00+00:00 -&gt; 2015-12-31 05:59:00+00:00</t>
  </si>
  <si>
    <t>61545 bars</t>
  </si>
  <si>
    <t>nonpos=0; OHLC_violations=0; bars_with_|r|&gt;10%=0; px range 14832.5-19589.5</t>
  </si>
  <si>
    <t>258 session-days; mean 238.5 bars/day; 2016-01-04 01:00:00+00:00 -&gt; 2016-12-30 05:59:00+00:00</t>
  </si>
  <si>
    <t>49212 bars</t>
  </si>
  <si>
    <t>nonpos=0; OHLC_violations=0; bars_with_|r|&gt;10%=0; px range 18222.0-23372.0</t>
  </si>
  <si>
    <t>257 session-days; mean 191.5 bars/day; 2017-01-03 01:00:00+00:00 -&gt; 2017-12-29 05:59:00+00:00</t>
  </si>
  <si>
    <t>68579 bars</t>
  </si>
  <si>
    <t>nonpos=0; OHLC_violations=0; bars_with_|r|&gt;10%=0; px range 18963.0-24440.0</t>
  </si>
  <si>
    <t>258 session-days; mean 265.8 bars/day; 2018-01-02 01:05:00+00:00 -&gt; 2018-12-31 05:59:00+00:00</t>
  </si>
  <si>
    <t>66292 bars</t>
  </si>
  <si>
    <t>nonpos=0; OHLC_violations=0; bars_with_|r|&gt;10%=0; px range 19229.5-24090.0</t>
  </si>
  <si>
    <t>258 session-days; mean 256.9 bars/day; 2019-01-02 00:00:00+00:00 -&gt; 2019-12-31 05:59:00+00:00</t>
  </si>
  <si>
    <t>74322 bars</t>
  </si>
  <si>
    <t>nonpos=0; OHLC_violations=0; bars_with_|r|&gt;10%=0; px range 16346.3-27605.4</t>
  </si>
  <si>
    <t>259 session-days; mean 287.0 bars/day; 2020-01-02 00:00:00+00:00 -&gt; 2020-12-31 05:59:00+00:00</t>
  </si>
  <si>
    <t>76462 bars</t>
  </si>
  <si>
    <t>nonpos=0; OHLC_violations=0; bars_with_|r|&gt;10%=0; px range 26959.3-30777.5</t>
  </si>
  <si>
    <t>259 session-days; mean 295.2 bars/day; 2021-01-04 00:00:00+00:00 -&gt; 2021-12-31 05:59:00+00:00</t>
  </si>
  <si>
    <t>74960 bars</t>
  </si>
  <si>
    <t>nonpos=0; OHLC_violations=0; bars_with_|r|&gt;10%=0; px range 24683.3-29391.0</t>
  </si>
  <si>
    <t>258 session-days; mean 290.5 bars/day; 2022-01-03 00:00:00+00:00 -&gt; 2022-12-30 05:59:00+00:00</t>
  </si>
  <si>
    <t>74143 bars</t>
  </si>
  <si>
    <t>nonpos=0; OHLC_violations=0; bars_with_|r|&gt;10%=0; px range 25607.3-33856.4</t>
  </si>
  <si>
    <t>257 session-days; mean 288.5 bars/day; 2023-01-03 00:00:00+00:00 -&gt; 2023-12-29 05:59:00+00:00</t>
  </si>
  <si>
    <t>77052 bars</t>
  </si>
  <si>
    <t>nonpos=0; OHLC_violations=0; bars_with_|r|&gt;10%=0; px range 30420.3-42404.4</t>
  </si>
  <si>
    <t>258 session-days; mean 298.7 bars/day; 2024-01-02 00:00:00+00:00 -&gt; 2024-12-31 05:59:00+00:00</t>
  </si>
  <si>
    <t>76979 bars</t>
  </si>
  <si>
    <t>nonpos=0; OHLC_violations=0; bars_with_|r|&gt;10%=0; px range 30683.5-52624.4</t>
  </si>
  <si>
    <t>258 session-days; mean 298.4 bars/day; 2025-01-02 00:00:00+00:00 -&gt; 2025-12-31 05:58:00+00:00</t>
  </si>
  <si>
    <t>49429 bars</t>
  </si>
  <si>
    <t>nonpos=0; OHLC_violations=0; bars_with_|r|&gt;10%=0; px range 50482.4-72800.3</t>
  </si>
  <si>
    <t>165 session-days; mean 299.6 bars/day; 2026-01-02 00:00:00+00:00 -&gt; 2026-08-21 05:59:00+00:00</t>
  </si>
  <si>
    <t>1312 bars</t>
  </si>
  <si>
    <t>nonpos=0; OHLC_violations=0; bars_with_|r|&gt;10%=0; px range 1118.0-1220.1</t>
  </si>
  <si>
    <t>4 session-days; mean 328.0 bars/day; 2011-09-19 13:51:00+00:00 -&gt; 2011-09-22 19:12:00+00:00</t>
  </si>
  <si>
    <t>87004 bars</t>
  </si>
  <si>
    <t>nonpos=0; OHLC_violations=0; bars_with_|r|&gt;10%=0; px range 1266.9-1474.4</t>
  </si>
  <si>
    <t>245 session-days; mean 355.1 bars/day; 2012-01-16 14:30:00+00:00 -&gt; 2012-12-31 20:59:00+00:00</t>
  </si>
  <si>
    <t>86944 bars</t>
  </si>
  <si>
    <t>nonpos=0; OHLC_violations=0; bars_with_|r|&gt;10%=0; px range 1443.2-1848.9</t>
  </si>
  <si>
    <t>248 session-days; mean 350.6 bars/day; 2013-01-02 14:50:00+00:00 -&gt; 2013-12-31 20:59:00+00:00</t>
  </si>
  <si>
    <t>91531 bars</t>
  </si>
  <si>
    <t>nonpos=0; OHLC_violations=0; bars_with_|r|&gt;10%=0; px range 1738.1-2092.4</t>
  </si>
  <si>
    <t>258 session-days; mean 354.8 bars/day; 2014-01-02 14:30:00+00:00 -&gt; 2014-12-31 18:59:00+00:00</t>
  </si>
  <si>
    <t>98272 bars</t>
  </si>
  <si>
    <t>nonpos=0; OHLC_violations=0; bars_with_|r|&gt;10%=0; px range 1855.2-2134.5</t>
  </si>
  <si>
    <t>258 session-days; mean 380.9 bars/day; 2015-01-02 14:30:00+00:00 -&gt; 2015-12-31 17:59:00+00:00</t>
  </si>
  <si>
    <t>98877 bars</t>
  </si>
  <si>
    <t>nonpos=0; OHLC_violations=0; bars_with_|r|&gt;10%=0; px range 1809.6-2277.4</t>
  </si>
  <si>
    <t>258 session-days; mean 383.2 bars/day; 2016-01-04 14:30:00+00:00 -&gt; 2016-12-30 20:59:00+00:00</t>
  </si>
  <si>
    <t>94231 bars</t>
  </si>
  <si>
    <t>nonpos=0; OHLC_violations=0; bars_with_|r|&gt;10%=0; px range 2244.1-2694.6</t>
  </si>
  <si>
    <t>257 session-days; mean 366.7 bars/day; 2017-01-03 14:30:00+00:00 -&gt; 2017-12-29 20:59:00+00:00</t>
  </si>
  <si>
    <t>97372 bars</t>
  </si>
  <si>
    <t>nonpos=0; OHLC_violations=0; bars_with_|r|&gt;10%=0; px range 2340.1-2940.2</t>
  </si>
  <si>
    <t>257 session-days; mean 378.9 bars/day; 2018-01-02 14:30:00+00:00 -&gt; 2018-12-31 20:59:00+00:00</t>
  </si>
  <si>
    <t>97589 bars</t>
  </si>
  <si>
    <t>nonpos=0; OHLC_violations=0; bars_with_|r|&gt;10%=0; px range 2447.8-3246.9</t>
  </si>
  <si>
    <t>258 session-days; mean 378.3 bars/day; 2019-01-02 14:30:00+00:00 -&gt; 2019-12-31 20:59:00+00:00</t>
  </si>
  <si>
    <t>99227 bars</t>
  </si>
  <si>
    <t>nonpos=0; OHLC_violations=0; bars_with_|r|&gt;10%=1; px range 2189.0-3756.7</t>
  </si>
  <si>
    <t>259 session-days; mean 383.1 bars/day; 2020-01-02 14:30:00+00:00 -&gt; 2020-12-31 20:59:00+00:00</t>
  </si>
  <si>
    <t>98947 bars</t>
  </si>
  <si>
    <t>nonpos=0; OHLC_violations=0; bars_with_|r|&gt;10%=0; px range 3664.6-4807.5</t>
  </si>
  <si>
    <t>258 session-days; mean 383.5 bars/day; 2021-01-04 14:30:00+00:00 -&gt; 2021-12-31 20:59:00+00:00</t>
  </si>
  <si>
    <t>99167 bars</t>
  </si>
  <si>
    <t>nonpos=0; OHLC_violations=0; bars_with_|r|&gt;10%=0; px range 3491.0-4816.0</t>
  </si>
  <si>
    <t>98189 bars</t>
  </si>
  <si>
    <t>nonpos=0; OHLC_violations=0; bars_with_|r|&gt;10%=0; px range 3795.2-4792.9</t>
  </si>
  <si>
    <t>256 session-days; mean 383.6 bars/day; 2023-01-03 14:30:00+00:00 -&gt; 2023-12-29 20:59:00+00:00</t>
  </si>
  <si>
    <t>99118 bars</t>
  </si>
  <si>
    <t>nonpos=0; OHLC_violations=0; bars_with_|r|&gt;10%=0; px range 4683.2-6099.3</t>
  </si>
  <si>
    <t>259 session-days; mean 382.7 bars/day; 2024-01-02 14:30:00+00:00 -&gt; 2024-12-31 20:59:00+00:00</t>
  </si>
  <si>
    <t>98405 bars</t>
  </si>
  <si>
    <t>nonpos=0; OHLC_violations=0; bars_with_|r|&gt;10%=0; px range 4841.9-6943.8</t>
  </si>
  <si>
    <t>63406 bars</t>
  </si>
  <si>
    <t>nonpos=0; OHLC_violations=0; bars_with_|r|&gt;10%=0; px range 6317.2-7815.9</t>
  </si>
  <si>
    <t>165 session-days; mean 384.3 bars/day; 2026-01-02 14:30:00+00:00 -&gt; 2026-08-21 19:59:00+00:00</t>
  </si>
  <si>
    <t>2363 bars</t>
  </si>
  <si>
    <t>nonpos=0; OHLC_violations=0; bars_with_|r|&gt;10%=0; px range 4928.2-5376.9</t>
  </si>
  <si>
    <t>5 session-days; mean 472.6 bars/day; 2011-09-19 07:00:00+00:00 -&gt; 2011-09-23 13:02:00+00:00</t>
  </si>
  <si>
    <t>119981 bars</t>
  </si>
  <si>
    <t>nonpos=0; OHLC_violations=0; bars_with_|r|&gt;10%=0; px range 5230.7-5996.6</t>
  </si>
  <si>
    <t>239 session-days; mean 502.0 bars/day; 2012-01-19 16:11:00+00:00 -&gt; 2012-12-31 12:50:00+00:00</t>
  </si>
  <si>
    <t>117536 bars</t>
  </si>
  <si>
    <t>nonpos=0; OHLC_violations=0; bars_with_|r|&gt;10%=0; px range 5969.2-6819.2</t>
  </si>
  <si>
    <t>247 session-days; mean 475.9 bars/day; 2013-01-02 08:00:00+00:00 -&gt; 2013-12-31 16:26:00+00:00</t>
  </si>
  <si>
    <t>127874 bars</t>
  </si>
  <si>
    <t>nonpos=0; OHLC_violations=0; bars_with_|r|&gt;10%=0; px range 6071.1-6902.8</t>
  </si>
  <si>
    <t>255 session-days; mean 501.5 bars/day; 2014-01-02 08:00:00+00:00 -&gt; 2014-12-31 12:00:00+00:00</t>
  </si>
  <si>
    <t>129769 bars</t>
  </si>
  <si>
    <t>nonpos=0; OHLC_violations=0; bars_with_|r|&gt;10%=0; px range 5777.0-7122.2</t>
  </si>
  <si>
    <t>256 session-days; mean 506.9 bars/day; 2015-01-02 08:00:00+00:00 -&gt; 2015-12-31 12:00:00+00:00</t>
  </si>
  <si>
    <t>129580 bars</t>
  </si>
  <si>
    <t>nonpos=0; OHLC_violations=0; bars_with_|r|&gt;10%=0; px range 5501.0-7135.7</t>
  </si>
  <si>
    <t>255 session-days; mean 508.2 bars/day; 2016-01-04 08:00:00+00:00 -&gt; 2016-12-30 16:29:00+00:00</t>
  </si>
  <si>
    <t>128635 bars</t>
  </si>
  <si>
    <t>nonpos=0; OHLC_violations=0; bars_with_|r|&gt;10%=0; px range 7091.5-7702.3</t>
  </si>
  <si>
    <t>254 session-days; mean 506.4 bars/day; 2017-01-03 08:00:00+00:00 -&gt; 2017-12-29 16:29:00+00:00</t>
  </si>
  <si>
    <t>129417 bars</t>
  </si>
  <si>
    <t>nonpos=0; OHLC_violations=0; bars_with_|r|&gt;10%=0; px range 6537.8-7902.8</t>
  </si>
  <si>
    <t>255 session-days; mean 507.5 bars/day; 2018-01-02 08:00:00+00:00 -&gt; 2018-12-31 12:29:00+00:00</t>
  </si>
  <si>
    <t>130203 bars</t>
  </si>
  <si>
    <t>nonpos=0; OHLC_violations=0; bars_with_|r|&gt;10%=0; px range 6599.9-7715.0</t>
  </si>
  <si>
    <t>257 session-days; mean 506.6 bars/day; 2019-01-02 08:00:00+00:00 -&gt; 2019-12-31 16:29:00+00:00</t>
  </si>
  <si>
    <t>130578 bars</t>
  </si>
  <si>
    <t>nonpos=0; OHLC_violations=0; bars_with_|r|&gt;10%=1; px range 4846.5-7688.9</t>
  </si>
  <si>
    <t>257 session-days; mean 508.1 bars/day; 2020-01-02 08:00:00+00:00 -&gt; 2020-12-31 12:49:00+00:00</t>
  </si>
  <si>
    <t>129886 bars</t>
  </si>
  <si>
    <t>nonpos=0; OHLC_violations=0; bars_with_|r|&gt;10%=0; px range 6396.3-7456.7</t>
  </si>
  <si>
    <t>255 session-days; mean 509.4 bars/day; 2021-01-04 08:00:00+00:00 -&gt; 2021-12-31 16:29:00+00:00</t>
  </si>
  <si>
    <t>130911 bars</t>
  </si>
  <si>
    <t>nonpos=0; OHLC_violations=0; bars_with_|r|&gt;10%=0; px range 6711.7-7686.7</t>
  </si>
  <si>
    <t>257 session-days; mean 509.4 bars/day; 2022-01-03 08:00:00+00:00 -&gt; 2022-12-30 16:29:00+00:00</t>
  </si>
  <si>
    <t>127756 bars</t>
  </si>
  <si>
    <t>nonpos=0; OHLC_violations=0; bars_with_|r|&gt;10%=0; px range 7207.1-8044.8</t>
  </si>
  <si>
    <t>255 session-days; mean 501.0 bars/day; 2023-01-02 09:26:00+00:00 -&gt; 2023-12-29 16:28:00+00:00</t>
  </si>
  <si>
    <t>130331 bars</t>
  </si>
  <si>
    <t>nonpos=0; OHLC_violations=0; bars_with_|r|&gt;10%=0; px range 7403.3-8473.5</t>
  </si>
  <si>
    <t>259 session-days; mean 503.2 bars/day; 2024-01-02 08:00:00+00:00 -&gt; 2024-12-31 16:29:00+00:00</t>
  </si>
  <si>
    <t>130672 bars</t>
  </si>
  <si>
    <t>nonpos=0; OHLC_violations=0; bars_with_|r|&gt;10%=0; px range 7537.1-9958.4</t>
  </si>
  <si>
    <t>257 session-days; mean 508.5 bars/day; 2025-01-03 08:00:00+00:00 -&gt; 2025-12-31 16:29:00+00:00</t>
  </si>
  <si>
    <t>84003 bars</t>
  </si>
  <si>
    <t>nonpos=0; OHLC_violations=0; bars_with_|r|&gt;10%=0; px range 9667.4-10991.3</t>
  </si>
  <si>
    <t>165 session-days; mean 509.1 bars/day; 2026-01-02 08:00:00+00:00 -&gt; 2026-08-21 15:29:00+00:00</t>
  </si>
  <si>
    <t>5950 bars</t>
  </si>
  <si>
    <t>nonpos=0; OHLC_violations=0; bars_with_|r|&gt;10%=0; px range 8502.7-9596.3</t>
  </si>
  <si>
    <t>63 session-days; mean 94.4 bars/day; 2013-09-30 15:10:00+00:00 -&gt; 2013-12-30 16:25:00+00:00</t>
  </si>
  <si>
    <t>25806 bars</t>
  </si>
  <si>
    <t>255 session-days; mean 101.2 bars/day; 2014-01-02 08:00:00+00:00 -&gt; 2014-12-30 16:25:00+00:00</t>
  </si>
  <si>
    <t>25996 bars</t>
  </si>
  <si>
    <t>nonpos=0; OHLC_violations=0; bars_with_|r|&gt;10%=0; px range 9335.8-12388.2</t>
  </si>
  <si>
    <t>255 session-days; mean 101.9 bars/day; 2015-01-02 08:00:00+00:00 -&gt; 2015-12-30 16:25:00+00:00</t>
  </si>
  <si>
    <t>26100 bars</t>
  </si>
  <si>
    <t>nonpos=0; OHLC_violations=0; bars_with_|r|&gt;10%=1; px range 8698.5-11480.0</t>
  </si>
  <si>
    <t>256 session-days; mean 102.0 bars/day; 2016-01-04 08:00:00+00:00 -&gt; 2016-12-30 16:25:00+00:00</t>
  </si>
  <si>
    <t>25896 bars</t>
  </si>
  <si>
    <t>nonpos=0; OHLC_violations=0; bars_with_|r|&gt;10%=0; px range 11418.6-13515.5</t>
  </si>
  <si>
    <t>254 session-days; mean 102.0 bars/day; 2017-01-02 08:00:00+00:00 -&gt; 2017-12-29 16:25:00+00:00</t>
  </si>
  <si>
    <t>25799 bars</t>
  </si>
  <si>
    <t>nonpos=0; OHLC_violations=0; bars_with_|r|&gt;10%=0; px range 10285.9-13594.8</t>
  </si>
  <si>
    <t>253 session-days; mean 102.0 bars/day; 2018-01-02 08:00:00+00:00 -&gt; 2018-12-28 16:25:00+00:00</t>
  </si>
  <si>
    <t>26273 bars</t>
  </si>
  <si>
    <t>nonpos=0; OHLC_violations=0; bars_with_|r|&gt;10%=0; px range 10388.4-13423.2</t>
  </si>
  <si>
    <t>258 session-days; mean 101.8 bars/day; 2019-01-02 08:00:00+00:00 -&gt; 2019-12-31 16:25:00+00:00</t>
  </si>
  <si>
    <t>26379 bars</t>
  </si>
  <si>
    <t>259 session-days; mean 101.8 bars/day; 2020-01-02 08:00:00+00:00 -&gt; 2020-12-31 16:25:00+00:00</t>
  </si>
  <si>
    <t>26316 bars</t>
  </si>
  <si>
    <t>nonpos=0; OHLC_violations=0; bars_with_|r|&gt;10%=0; px range 13315.3-16288.9</t>
  </si>
  <si>
    <t>258 session-days; mean 102.0 bars/day; 2021-01-04 08:00:00+00:00 -&gt; 2021-12-31 16:25:00+00:00</t>
  </si>
  <si>
    <t>nonpos=0; OHLC_violations=0; bars_with_|r|&gt;10%=0; px range 11865.3-16282.7</t>
  </si>
  <si>
    <t>258 session-days; mean 102.0 bars/day; 2022-01-03 08:00:00+00:00 -&gt; 2022-12-30 16:25:00+00:00</t>
  </si>
  <si>
    <t>26110 bars</t>
  </si>
  <si>
    <t>nonpos=0; OHLC_violations=0; bars_with_|r|&gt;10%=0; px range 13976.8-16989.7</t>
  </si>
  <si>
    <t>256 session-days; mean 102.0 bars/day; 2023-01-02 08:00:00+00:00 -&gt; 2023-12-29 16:25:00+00:00</t>
  </si>
  <si>
    <t>26399 bars</t>
  </si>
  <si>
    <t>nonpos=0; OHLC_violations=0; bars_with_|r|&gt;10%=0; px range 16351.3-20512.7</t>
  </si>
  <si>
    <t>259 session-days; mean 101.9 bars/day; 2024-01-02 08:00:00+00:00 -&gt; 2024-12-31 16:25:00+00:00</t>
  </si>
  <si>
    <t>26281 bars</t>
  </si>
  <si>
    <t>nonpos=0; OHLC_violations=0; bars_with_|r|&gt;10%=0; px range 19007.3-24769.8</t>
  </si>
  <si>
    <t>258 session-days; mean 101.9 bars/day; 2025-01-02 08:00:00+00:00 -&gt; 2025-12-31 16:25:00+00:00</t>
  </si>
  <si>
    <t>16816 bars</t>
  </si>
  <si>
    <t>165 session-days; mean 101.9 bars/day; 2026-01-02 08:00:00+00:00 -&gt; 2026-08-21 15:25:00+00:00</t>
  </si>
  <si>
    <t>307 bars</t>
  </si>
  <si>
    <t>nonpos=0; OHLC_violations=0; bars_with_|r|&gt;10%=0; px range 17383.2-19236.7</t>
  </si>
  <si>
    <t>5 session-days; mean 61.4 bars/day; 2011-09-19 01:30:00+00:00 -&gt; 2011-09-23 07:55:00+00:00</t>
  </si>
  <si>
    <t>14635 bars</t>
  </si>
  <si>
    <t>nonpos=0; OHLC_violations=0; bars_with_|r|&gt;10%=0; px range 18060.5-22710.1</t>
  </si>
  <si>
    <t>225 session-days; mean 65.0 bars/day; 2012-02-06 01:30:00+00:00 -&gt; 2012-12-31 03:55:00+00:00</t>
  </si>
  <si>
    <t>15176 bars</t>
  </si>
  <si>
    <t>nonpos=0; OHLC_violations=0; bars_with_|r|&gt;10%=0; px range 19447.0-24080.0</t>
  </si>
  <si>
    <t>233 session-days; mean 65.1 bars/day; 2013-01-02 01:30:00+00:00 -&gt; 2013-12-31 03:55:00+00:00</t>
  </si>
  <si>
    <t>16002 bars</t>
  </si>
  <si>
    <t>nonpos=0; OHLC_violations=0; bars_with_|r|&gt;10%=0; px range 21127.0-25374.0</t>
  </si>
  <si>
    <t>245 session-days; mean 65.3 bars/day; 2014-01-02 07:00:00+00:00 -&gt; 2014-12-31 03:55:00+00:00</t>
  </si>
  <si>
    <t>16388 bars</t>
  </si>
  <si>
    <t>nonpos=0; OHLC_violations=0; bars_with_|r|&gt;10%=0; px range 20350.2-28598.0</t>
  </si>
  <si>
    <t>255 session-days; mean 64.3 bars/day; 2015-01-02 01:30:00+00:00 -&gt; 2015-12-31 03:55:00+00:00</t>
  </si>
  <si>
    <t>16111 bars</t>
  </si>
  <si>
    <t>nonpos=0; OHLC_violations=0; bars_with_|r|&gt;10%=0; px range 18287.8-24382.0</t>
  </si>
  <si>
    <t>245 session-days; mean 65.8 bars/day; 2016-01-04 01:30:00+00:00 -&gt; 2016-12-30 07:55:00+00:00</t>
  </si>
  <si>
    <t>15984 bars</t>
  </si>
  <si>
    <t>244 session-days; mean 65.5 bars/day; 2017-01-04 03:05:00+00:00 -&gt; 2017-12-29 07:55:00+00:00</t>
  </si>
  <si>
    <t>16118 bars</t>
  </si>
  <si>
    <t>nonpos=0; OHLC_violations=0; bars_with_|r|&gt;10%=0; px range 24537.4-33399.6</t>
  </si>
  <si>
    <t>247 session-days; mean 65.3 bars/day; 2018-01-02 01:35:00+00:00 -&gt; 2018-12-31 03:55:00+00:00</t>
  </si>
  <si>
    <t>16145 bars</t>
  </si>
  <si>
    <t>nonpos=0; OHLC_violations=0; bars_with_|r|&gt;10%=0; px range 24865.8-30292.0</t>
  </si>
  <si>
    <t>247 session-days; mean 65.4 bars/day; 2019-01-02 01:30:00+00:00 -&gt; 2019-12-31 03:55:00+00:00</t>
  </si>
  <si>
    <t>16201 bars</t>
  </si>
  <si>
    <t>nonpos=0; OHLC_violations=0; bars_with_|r|&gt;10%=0; px range 21009.8-29125.3</t>
  </si>
  <si>
    <t>248 session-days; mean 65.3 bars/day; 2020-01-02 01:30:00+00:00 -&gt; 2020-12-31 03:55:00+00:00</t>
  </si>
  <si>
    <t>16155 bars</t>
  </si>
  <si>
    <t>nonpos=0; OHLC_violations=0; bars_with_|r|&gt;10%=0; px range 22686.7-31073.4</t>
  </si>
  <si>
    <t>247 session-days; mean 65.4 bars/day; 2021-01-04 01:30:00+00:00 -&gt; 2021-12-31 03:55:00+00:00</t>
  </si>
  <si>
    <t>16074 bars</t>
  </si>
  <si>
    <t>nonpos=0; OHLC_violations=0; bars_with_|r|&gt;10%=0; px range 14619.5-24968.6</t>
  </si>
  <si>
    <t>245 session-days; mean 65.6 bars/day; 2022-01-04 01:30:00+00:00 -&gt; 2022-12-30 07:55:00+00:00</t>
  </si>
  <si>
    <t>15996 bars</t>
  </si>
  <si>
    <t>nonpos=0; OHLC_violations=0; bars_with_|r|&gt;10%=0; px range 15978.9-22652.4</t>
  </si>
  <si>
    <t>243 session-days; mean 65.8 bars/day; 2023-01-03 01:30:00+00:00 -&gt; 2023-12-29 07:55:00+00:00</t>
  </si>
  <si>
    <t>16114 bars</t>
  </si>
  <si>
    <t>nonpos=0; OHLC_violations=0; bars_with_|r|&gt;10%=0; px range 14832.7-23146.3</t>
  </si>
  <si>
    <t>246 session-days; mean 65.5 bars/day; 2024-01-02 01:30:00+00:00 -&gt; 2024-12-31 03:55:00+00:00</t>
  </si>
  <si>
    <t>16057 bars</t>
  </si>
  <si>
    <t>nonpos=0; OHLC_violations=0; bars_with_|r|&gt;10%=0; px range 18686.1-27375.1</t>
  </si>
  <si>
    <t>245 session-days; mean 65.5 bars/day; 2025-01-02 01:30:00+00:00 -&gt; 2025-12-31 03:55:00+00:00</t>
  </si>
  <si>
    <t>10247 bars</t>
  </si>
  <si>
    <t>nonpos=0; OHLC_violations=0; bars_with_|r|&gt;10%=0; px range 22536.2-28042.6</t>
  </si>
  <si>
    <t>156 session-days; mean 65.7 bars/day; 2026-01-02 01:30:00+00:00 -&gt; 2026-08-21 07:55:00+00:00</t>
  </si>
  <si>
    <t>303 bars</t>
  </si>
  <si>
    <t>nonpos=0; OHLC_violations=0; bars_with_|r|&gt;10%=0; px range 2161.7-2336.6</t>
  </si>
  <si>
    <t>4 session-days; mean 75.8 bars/day; 2011-09-19 13:30:00+00:00 -&gt; 2011-09-22 19:10:00+00:00</t>
  </si>
  <si>
    <t>18381 bars</t>
  </si>
  <si>
    <t>nonpos=0; OHLC_violations=0; bars_with_|r|&gt;10%=0; px range 2424.1-2877.7</t>
  </si>
  <si>
    <t>238 session-days; mean 77.2 bars/day; 2012-01-19 16:15:00+00:00 -&gt; 2012-12-31 20:55:00+00:00</t>
  </si>
  <si>
    <t>17580 bars</t>
  </si>
  <si>
    <t>nonpos=0; OHLC_violations=0; bars_with_|r|&gt;10%=0; px range 2700.8-3590.9</t>
  </si>
  <si>
    <t>241 session-days; mean 72.9 bars/day; 2013-01-02 14:30:00+00:00 -&gt; 2013-12-31 20:55:00+00:00</t>
  </si>
  <si>
    <t>19150 bars</t>
  </si>
  <si>
    <t>nonpos=0; OHLC_violations=0; bars_with_|r|&gt;10%=0; px range 3415.1-4345.9</t>
  </si>
  <si>
    <t>255 session-days; mean 75.1 bars/day; 2014-01-02 14:30:00+00:00 -&gt; 2014-12-31 19:00:00+00:00</t>
  </si>
  <si>
    <t>19777 bars</t>
  </si>
  <si>
    <t>nonpos=0; OHLC_violations=0; bars_with_|r|&gt;10%=0; px range 3973.3-4739.4</t>
  </si>
  <si>
    <t>258 session-days; mean 76.7 bars/day; 2015-01-02 14:30:00+00:00 -&gt; 2015-12-31 18:00:00+00:00</t>
  </si>
  <si>
    <t>19861 bars</t>
  </si>
  <si>
    <t>nonpos=0; OHLC_violations=0; bars_with_|r|&gt;10%=0; px range 3892.6-4989.3</t>
  </si>
  <si>
    <t>258 session-days; mean 77.0 bars/day; 2016-01-04 14:30:00+00:00 -&gt; 2016-12-30 20:55:00+00:00</t>
  </si>
  <si>
    <t>19417 bars</t>
  </si>
  <si>
    <t>nonpos=0; OHLC_violations=0; bars_with_|r|&gt;10%=0; px range 4882.1-6520.6</t>
  </si>
  <si>
    <t>253 session-days; mean 76.7 bars/day; 2017-01-03 14:30:00+00:00 -&gt; 2017-12-29 20:55:00+00:00</t>
  </si>
  <si>
    <t>19646 bars</t>
  </si>
  <si>
    <t>nonpos=0; OHLC_violations=0; bars_with_|r|&gt;10%=0; px range 5872.8-7697.8</t>
  </si>
  <si>
    <t>256 session-days; mean 76.7 bars/day; 2018-01-02 14:30:00+00:00 -&gt; 2018-12-31 20:55:00+00:00</t>
  </si>
  <si>
    <t>19814 bars</t>
  </si>
  <si>
    <t>nonpos=0; OHLC_violations=0; bars_with_|r|&gt;10%=0; px range 6146.8-8805.1</t>
  </si>
  <si>
    <t>258 session-days; mean 76.8 bars/day; 2019-01-02 14:30:00+00:00 -&gt; 2019-12-31 20:55:00+00:00</t>
  </si>
  <si>
    <t>19911 bars</t>
  </si>
  <si>
    <t>nonpos=0; OHLC_violations=0; bars_with_|r|&gt;10%=1; px range 6772.8-12914.4</t>
  </si>
  <si>
    <t>259 session-days; mean 76.9 bars/day; 2020-01-02 14:30:00+00:00 -&gt; 2020-12-31 20:55:00+00:00</t>
  </si>
  <si>
    <t>19875 bars</t>
  </si>
  <si>
    <t>nonpos=0; OHLC_violations=0; bars_with_|r|&gt;10%=0; px range 12236.4-16755.3</t>
  </si>
  <si>
    <t>258 session-days; mean 77.0 bars/day; 2021-01-04 14:30:00+00:00 -&gt; 2021-12-31 20:55:00+00:00</t>
  </si>
  <si>
    <t>19838 bars</t>
  </si>
  <si>
    <t>nonpos=0; OHLC_violations=0; bars_with_|r|&gt;10%=0; px range 10462.3-16499.4</t>
  </si>
  <si>
    <t>258 session-days; mean 76.9 bars/day; 2022-01-03 14:30:00+00:00 -&gt; 2022-12-30 20:55:00+00:00</t>
  </si>
  <si>
    <t>19661 bars</t>
  </si>
  <si>
    <t>nonpos=0; OHLC_violations=0; bars_with_|r|&gt;10%=0; px range 10712.0-16950.6</t>
  </si>
  <si>
    <t>256 session-days; mean 76.8 bars/day; 2023-01-03 14:30:00+00:00 -&gt; 2023-12-29 20:55:00+00:00</t>
  </si>
  <si>
    <t>19845 bars</t>
  </si>
  <si>
    <t>nonpos=0; OHLC_violations=0; bars_with_|r|&gt;10%=0; px range 16258.1-22129.9</t>
  </si>
  <si>
    <t>259 session-days; mean 76.6 bars/day; 2024-01-02 14:30:00+00:00 -&gt; 2024-12-31 20:55:00+00:00</t>
  </si>
  <si>
    <t>19690 bars</t>
  </si>
  <si>
    <t>nonpos=0; OHLC_violations=0; bars_with_|r|&gt;10%=0; px range 16616.3-26176.0</t>
  </si>
  <si>
    <t>257 session-days; mean 76.6 bars/day; 2025-01-02 14:30:00+00:00 -&gt; 2025-12-31 20:55:00+00:00</t>
  </si>
  <si>
    <t>12689 bars</t>
  </si>
  <si>
    <t>nonpos=0; OHLC_violations=0; bars_with_|r|&gt;10%=0; px range 22847.1-30687.8</t>
  </si>
  <si>
    <t>165 session-days; mean 76.9 bars/day; 2026-01-02 14:30:00+00:00 -&gt; 2026-08-21 19:55:00+00:00</t>
  </si>
  <si>
    <t>153 bars</t>
  </si>
  <si>
    <t>nonpos=0; OHLC_violations=0; bars_with_|r|&gt;10%=0; px range 8550.4-8768.2</t>
  </si>
  <si>
    <t>3 session-days; mean 51.0 bars/day; 2011-09-20 00:00:00+00:00 -&gt; 2011-09-22 05:55:00+00:00</t>
  </si>
  <si>
    <t>13407 bars</t>
  </si>
  <si>
    <t>nonpos=0; OHLC_violations=0; bars_with_|r|&gt;10%=0; px range 8251.1-10432.3</t>
  </si>
  <si>
    <t>225 session-days; mean 59.6 bars/day; 2012-02-06 00:00:00+00:00 -&gt; 2012-12-28 05:55:00+00:00</t>
  </si>
  <si>
    <t>13257 bars</t>
  </si>
  <si>
    <t>nonpos=0; OHLC_violations=0; bars_with_|r|&gt;10%=0; px range 10398.6-16303.0</t>
  </si>
  <si>
    <t>227 session-days; mean 58.4 bars/day; 2013-01-04 00:00:00+00:00 -&gt; 2013-12-31 05:55:00+00:00</t>
  </si>
  <si>
    <t>15354 bars</t>
  </si>
  <si>
    <t>nonpos=0; OHLC_violations=0; bars_with_|r|&gt;10%=0; px range 13873.0-18013.0</t>
  </si>
  <si>
    <t>256 session-days; mean 60.0 bars/day; 2014-01-02 00:00:00+00:00 -&gt; 2014-12-31 05:55:00+00:00</t>
  </si>
  <si>
    <t>4650 bars</t>
  </si>
  <si>
    <t>nonpos=0; OHLC_violations=0; bars_with_|r|&gt;10%=0; px range 16600.0-20001.6</t>
  </si>
  <si>
    <t>87 session-days; mean 53.4 bars/day; 2015-01-02 00:00:00+00:00 -&gt; 2015-12-31 05:55:00+00:00</t>
  </si>
  <si>
    <t>12374 bars</t>
  </si>
  <si>
    <t>nonpos=0; OHLC_violations=0; bars_with_|r|&gt;10%=0; px range 14853.0-19584.5</t>
  </si>
  <si>
    <t>258 session-days; mean 48.0 bars/day; 2016-01-04 01:00:00+00:00 -&gt; 2016-12-30 05:55:00+00:00</t>
  </si>
  <si>
    <t>12036 bars</t>
  </si>
  <si>
    <t>nonpos=0; OHLC_violations=0; bars_with_|r|&gt;10%=0; px range 18234.0-23363.5</t>
  </si>
  <si>
    <t>257 session-days; mean 46.8 bars/day; 2017-01-03 01:00:00+00:00 -&gt; 2017-12-29 05:55:00+00:00</t>
  </si>
  <si>
    <t>14528 bars</t>
  </si>
  <si>
    <t>nonpos=0; OHLC_violations=0; bars_with_|r|&gt;10%=0; px range 18975.0-24435.0</t>
  </si>
  <si>
    <t>258 session-days; mean 56.3 bars/day; 2018-01-02 01:05:00+00:00 -&gt; 2018-12-31 05:55:00+00:00</t>
  </si>
  <si>
    <t>15299 bars</t>
  </si>
  <si>
    <t>nonpos=0; OHLC_violations=0; bars_with_|r|&gt;10%=0; px range 19229.5-24075.0</t>
  </si>
  <si>
    <t>258 session-days; mean 59.3 bars/day; 2019-01-02 00:00:00+00:00 -&gt; 2019-12-31 05:55:00+00:00</t>
  </si>
  <si>
    <t>15504 bars</t>
  </si>
  <si>
    <t>nonpos=0; OHLC_violations=0; bars_with_|r|&gt;10%=0; px range 16354.5-27602.3</t>
  </si>
  <si>
    <t>259 session-days; mean 59.9 bars/day; 2020-01-02 00:00:00+00:00 -&gt; 2020-12-31 05:55:00+00:00</t>
  </si>
  <si>
    <t>15525 bars</t>
  </si>
  <si>
    <t>nonpos=0; OHLC_violations=0; bars_with_|r|&gt;10%=0; px range 26966.4-30777.5</t>
  </si>
  <si>
    <t>259 session-days; mean 59.9 bars/day; 2021-01-04 00:00:00+00:00 -&gt; 2021-12-31 05:55:00+00:00</t>
  </si>
  <si>
    <t>15423 bars</t>
  </si>
  <si>
    <t>nonpos=0; OHLC_violations=0; bars_with_|r|&gt;10%=0; px range 24703.3-29365.5</t>
  </si>
  <si>
    <t>258 session-days; mean 59.8 bars/day; 2022-01-03 00:00:00+00:00 -&gt; 2022-12-30 05:55:00+00:00</t>
  </si>
  <si>
    <t>15393 bars</t>
  </si>
  <si>
    <t>nonpos=0; OHLC_violations=0; bars_with_|r|&gt;10%=0; px range 25632.5-33856.4</t>
  </si>
  <si>
    <t>257 session-days; mean 59.9 bars/day; 2023-01-03 00:00:00+00:00 -&gt; 2023-12-29 05:55:00+00:00</t>
  </si>
  <si>
    <t>15465 bars</t>
  </si>
  <si>
    <t>nonpos=0; OHLC_violations=0; bars_with_|r|&gt;10%=0; px range 30617.3-42379.5</t>
  </si>
  <si>
    <t>258 session-days; mean 59.9 bars/day; 2024-01-02 00:00:00+00:00 -&gt; 2024-12-31 05:55:00+00:00</t>
  </si>
  <si>
    <t>15443 bars</t>
  </si>
  <si>
    <t>nonpos=0; OHLC_violations=0; bars_with_|r|&gt;10%=0; px range 30683.5-52619.5</t>
  </si>
  <si>
    <t>258 session-days; mean 59.9 bars/day; 2025-01-02 00:00:00+00:00 -&gt; 2025-12-31 05:55:00+00:00</t>
  </si>
  <si>
    <t>9895 bars</t>
  </si>
  <si>
    <t>nonpos=0; OHLC_violations=0; bars_with_|r|&gt;10%=0; px range 50482.4-72777.4</t>
  </si>
  <si>
    <t>165 session-days; mean 60.0 bars/day; 2026-01-02 00:00:00+00:00 -&gt; 2026-08-21 05:55:00+00:00</t>
  </si>
  <si>
    <t>285 bars</t>
  </si>
  <si>
    <t>nonpos=0; OHLC_violations=0; bars_with_|r|&gt;10%=0; px range 1118.0-1219.7</t>
  </si>
  <si>
    <t>4 session-days; mean 71.2 bars/day; 2011-09-19 13:50:00+00:00 -&gt; 2011-09-22 19:10:00+00:00</t>
  </si>
  <si>
    <t>17690 bars</t>
  </si>
  <si>
    <t>nonpos=0; OHLC_violations=0; bars_with_|r|&gt;10%=0; px range 1267.4-1474.0</t>
  </si>
  <si>
    <t>245 session-days; mean 72.2 bars/day; 2012-01-16 14:30:00+00:00 -&gt; 2012-12-31 20:55:00+00:00</t>
  </si>
  <si>
    <t>17981 bars</t>
  </si>
  <si>
    <t>nonpos=0; OHLC_violations=0; bars_with_|r|&gt;10%=0; px range 1449.8-1848.5</t>
  </si>
  <si>
    <t>248 session-days; mean 72.5 bars/day; 2013-01-02 14:50:00+00:00 -&gt; 2013-12-31 20:55:00+00:00</t>
  </si>
  <si>
    <t>19379 bars</t>
  </si>
  <si>
    <t>nonpos=0; OHLC_violations=0; bars_with_|r|&gt;10%=0; px range 1738.1-2092.1</t>
  </si>
  <si>
    <t>258 session-days; mean 75.1 bars/day; 2014-01-02 14:30:00+00:00 -&gt; 2014-12-31 18:55:00+00:00</t>
  </si>
  <si>
    <t>19773 bars</t>
  </si>
  <si>
    <t>nonpos=0; OHLC_violations=0; bars_with_|r|&gt;10%=0; px range 1864.0-2134.2</t>
  </si>
  <si>
    <t>258 session-days; mean 76.6 bars/day; 2015-01-02 14:30:00+00:00 -&gt; 2015-12-31 17:55:00+00:00</t>
  </si>
  <si>
    <t>19862 bars</t>
  </si>
  <si>
    <t>nonpos=0; OHLC_violations=0; bars_with_|r|&gt;10%=0; px range 1812.3-2277.4</t>
  </si>
  <si>
    <t>19706 bars</t>
  </si>
  <si>
    <t>nonpos=0; OHLC_violations=0; bars_with_|r|&gt;10%=0; px range 2244.6-2694.6</t>
  </si>
  <si>
    <t>257 session-days; mean 76.7 bars/day; 2017-01-03 14:30:00+00:00 -&gt; 2017-12-29 20:55:00+00:00</t>
  </si>
  <si>
    <t>19725 bars</t>
  </si>
  <si>
    <t>nonpos=0; OHLC_violations=0; bars_with_|r|&gt;10%=0; px range 2340.1-2939.5</t>
  </si>
  <si>
    <t>257 session-days; mean 76.8 bars/day; 2018-01-02 14:30:00+00:00 -&gt; 2018-12-31 20:55:00+00:00</t>
  </si>
  <si>
    <t>19807 bars</t>
  </si>
  <si>
    <t>nonpos=0; OHLC_violations=0; bars_with_|r|&gt;10%=0; px range 2447.8-3246.4</t>
  </si>
  <si>
    <t>19910 bars</t>
  </si>
  <si>
    <t>nonpos=0; OHLC_violations=0; bars_with_|r|&gt;10%=1; px range 2191.2-3755.1</t>
  </si>
  <si>
    <t>nonpos=0; OHLC_violations=0; bars_with_|r|&gt;10%=0; px range 3665.2-4807.1</t>
  </si>
  <si>
    <t>nonpos=0; OHLC_violations=0; bars_with_|r|&gt;10%=0; px range 3498.3-4815.7</t>
  </si>
  <si>
    <t>19655 bars</t>
  </si>
  <si>
    <t>nonpos=0; OHLC_violations=0; bars_with_|r|&gt;10%=0; px range 3795.9-4792.9</t>
  </si>
  <si>
    <t>19842 bars</t>
  </si>
  <si>
    <t>nonpos=0; OHLC_violations=0; bars_with_|r|&gt;10%=0; px range 4684.2-6099.3</t>
  </si>
  <si>
    <t>nonpos=0; OHLC_violations=0; bars_with_|r|&gt;10%=0; px range 4854.4-6943.6</t>
  </si>
  <si>
    <t>12687 bars</t>
  </si>
  <si>
    <t>nonpos=0; OHLC_violations=0; bars_with_|r|&gt;10%=0; px range 6317.2-7814.9</t>
  </si>
  <si>
    <t>479 bars</t>
  </si>
  <si>
    <t>nonpos=0; OHLC_violations=0; bars_with_|r|&gt;10%=0; px range 4941.6-5374.7</t>
  </si>
  <si>
    <t>5 session-days; mean 95.8 bars/day; 2011-09-19 07:00:00+00:00 -&gt; 2011-09-23 13:00:00+00:00</t>
  </si>
  <si>
    <t>24056 bars</t>
  </si>
  <si>
    <t>nonpos=0; OHLC_violations=0; bars_with_|r|&gt;10%=0; px range 5233.4-5994.9</t>
  </si>
  <si>
    <t>239 session-days; mean 100.7 bars/day; 2012-01-19 16:10:00+00:00 -&gt; 2012-12-31 12:50:00+00:00</t>
  </si>
  <si>
    <t>23728 bars</t>
  </si>
  <si>
    <t>nonpos=0; OHLC_violations=0; bars_with_|r|&gt;10%=0; px range 5969.7-6818.0</t>
  </si>
  <si>
    <t>247 session-days; mean 96.1 bars/day; 2013-01-02 08:00:00+00:00 -&gt; 2013-12-31 16:25:00+00:00</t>
  </si>
  <si>
    <t>25683 bars</t>
  </si>
  <si>
    <t>nonpos=0; OHLC_violations=0; bars_with_|r|&gt;10%=0; px range 6080.6-6899.8</t>
  </si>
  <si>
    <t>255 session-days; mean 100.7 bars/day; 2014-01-02 08:00:00+00:00 -&gt; 2014-12-31 12:00:00+00:00</t>
  </si>
  <si>
    <t>25972 bars</t>
  </si>
  <si>
    <t>nonpos=0; OHLC_violations=0; bars_with_|r|&gt;10%=0; px range 5777.0-7120.9</t>
  </si>
  <si>
    <t>256 session-days; mean 101.5 bars/day; 2015-01-02 08:00:00+00:00 -&gt; 2015-12-31 12:00:00+00:00</t>
  </si>
  <si>
    <t>25951 bars</t>
  </si>
  <si>
    <t>255 session-days; mean 101.8 bars/day; 2016-01-04 08:00:00+00:00 -&gt; 2016-12-30 16:25:00+00:00</t>
  </si>
  <si>
    <t>25848 bars</t>
  </si>
  <si>
    <t>nonpos=0; OHLC_violations=0; bars_with_|r|&gt;10%=0; px range 7095.8-7702.3</t>
  </si>
  <si>
    <t>254 session-days; mean 101.8 bars/day; 2017-01-03 08:00:00+00:00 -&gt; 2017-12-29 16:25:00+00:00</t>
  </si>
  <si>
    <t>25907 bars</t>
  </si>
  <si>
    <t>nonpos=0; OHLC_violations=0; bars_with_|r|&gt;10%=0; px range 6538.3-7902.8</t>
  </si>
  <si>
    <t>255 session-days; mean 101.6 bars/day; 2018-01-02 08:00:00+00:00 -&gt; 2018-12-31 12:25:00+00:00</t>
  </si>
  <si>
    <t>26072 bars</t>
  </si>
  <si>
    <t>nonpos=0; OHLC_violations=0; bars_with_|r|&gt;10%=0; px range 6600.8-7712.0</t>
  </si>
  <si>
    <t>257 session-days; mean 101.4 bars/day; 2019-01-02 08:00:00+00:00 -&gt; 2019-12-31 16:25:00+00:00</t>
  </si>
  <si>
    <t>26125 bars</t>
  </si>
  <si>
    <t>nonpos=0; OHLC_violations=0; bars_with_|r|&gt;10%=0; px range 4898.3-7688.9</t>
  </si>
  <si>
    <t>257 session-days; mean 101.7 bars/day; 2020-01-02 08:00:00+00:00 -&gt; 2020-12-31 12:45:00+00:00</t>
  </si>
  <si>
    <t>26006 bars</t>
  </si>
  <si>
    <t>nonpos=0; OHLC_violations=0; bars_with_|r|&gt;10%=0; px range 6400.9-7456.6</t>
  </si>
  <si>
    <t>255 session-days; mean 102.0 bars/day; 2021-01-04 08:00:00+00:00 -&gt; 2021-12-31 16:25:00+00:00</t>
  </si>
  <si>
    <t>26213 bars</t>
  </si>
  <si>
    <t>nonpos=0; OHLC_violations=0; bars_with_|r|&gt;10%=0; px range 6721.3-7685.2</t>
  </si>
  <si>
    <t>257 session-days; mean 102.0 bars/day; 2022-01-03 08:00:00+00:00 -&gt; 2022-12-30 16:25:00+00:00</t>
  </si>
  <si>
    <t>25771 bars</t>
  </si>
  <si>
    <t>nonpos=0; OHLC_violations=0; bars_with_|r|&gt;10%=0; px range 7207.1-8041.7</t>
  </si>
  <si>
    <t>255 session-days; mean 101.1 bars/day; 2023-01-02 09:25:00+00:00 -&gt; 2023-12-29 16:25:00+00:00</t>
  </si>
  <si>
    <t>26284 bars</t>
  </si>
  <si>
    <t>nonpos=0; OHLC_violations=0; bars_with_|r|&gt;10%=0; px range 7404.8-8472.1</t>
  </si>
  <si>
    <t>259 session-days; mean 101.5 bars/day; 2024-01-02 08:00:00+00:00 -&gt; 2024-12-31 16:25:00+00:00</t>
  </si>
  <si>
    <t>26164 bars</t>
  </si>
  <si>
    <t>nonpos=0; OHLC_violations=0; bars_with_|r|&gt;10%=0; px range 7587.7-9957.9</t>
  </si>
  <si>
    <t>257 session-days; mean 101.8 bars/day; 2025-01-03 08:00:00+00:00 -&gt; 2025-12-31 16:25:00+00:00</t>
  </si>
  <si>
    <t>16817 bars</t>
  </si>
  <si>
    <t>nonpos=0; OHLC_violations=0; bars_with_|r|&gt;10%=0; px range 9668.4-10986.1</t>
  </si>
  <si>
    <t>check</t>
  </si>
  <si>
    <t>status</t>
  </si>
  <si>
    <t>detail</t>
  </si>
  <si>
    <t>2013-10-01</t>
  </si>
  <si>
    <t>2011-09-21</t>
  </si>
  <si>
    <t>USABLE - disclose</t>
  </si>
  <si>
    <t>N_Aligned</t>
  </si>
  <si>
    <t>N_Naive</t>
  </si>
  <si>
    <t>Pct_Aligned</t>
  </si>
  <si>
    <t>First</t>
  </si>
  <si>
    <t>Last</t>
  </si>
  <si>
    <t>Correlation</t>
  </si>
  <si>
    <t>R2_Aligned</t>
  </si>
  <si>
    <t>R2_Naive_DoNotUse</t>
  </si>
  <si>
    <t>OLS_Slope</t>
  </si>
  <si>
    <t>OLS_Intercept_bps</t>
  </si>
  <si>
    <t>Tracking_Error_annual_pct</t>
  </si>
  <si>
    <t>Resid_SD_daily_bps</t>
  </si>
  <si>
    <t>CFD_vol_annual_pct</t>
  </si>
  <si>
    <t>Index_vol_annual_pct</t>
  </si>
  <si>
    <t>2013-02-25</t>
  </si>
  <si>
    <t>2013-02-26</t>
  </si>
  <si>
    <t>2013-02-27</t>
  </si>
  <si>
    <t>2013-02-28</t>
  </si>
  <si>
    <t>2013-12-25</t>
  </si>
  <si>
    <t>2013-12-26</t>
  </si>
  <si>
    <t>2014-01-01</t>
  </si>
  <si>
    <t>2013-12-24</t>
  </si>
  <si>
    <t>Range_bps</t>
  </si>
  <si>
    <t>NBars</t>
  </si>
  <si>
    <t>HIGH</t>
  </si>
  <si>
    <t>MEDIUM</t>
  </si>
  <si>
    <t>LOW</t>
  </si>
  <si>
    <t>Yahoo OHLC is internally inconsistent for FX and futures</t>
  </si>
  <si>
    <t>Frozen CFD sessions would enter the sample as zero-volatility days</t>
  </si>
  <si>
    <t>Yahoo no longer quotes CBOE yield indices as percent x 10</t>
  </si>
  <si>
    <t>No free volatility index exists for FTSE 100 or Hang Seng</t>
  </si>
  <si>
    <t>USDHKD has a genuine 7-month hole in 2003</t>
  </si>
  <si>
    <t>Dukascopy CFD is not the exchange index</t>
  </si>
  <si>
    <t>Rolling window length silently truncates the test period</t>
  </si>
  <si>
    <t>Stale-bar padding in Dukascopy files</t>
  </si>
  <si>
    <t>No free implied-vol index for FTSE 100 or Hang Seng</t>
  </si>
  <si>
    <t>Non-synchronous trading across regions</t>
  </si>
  <si>
    <t>Multiple testing across 6 indices</t>
  </si>
  <si>
    <t>Expired CA bundle on the workstation</t>
  </si>
  <si>
    <t>STOXX TLS chain incomplete</t>
  </si>
  <si>
    <t>OVX reaches 325 in Apr-2020</t>
  </si>
  <si>
    <t>VVIX has 21-day gaps in 2006</t>
  </si>
  <si>
    <t>On a minority of days Yahoo writes a placeholder bar with Open==High==Low and a Close from a different snapshot, so Close falls OUTSIDE [Low, High]. Affected: GOLD 6.8% of days (441), USDJPY 3.6% (275), EURUSD 2.2% (128), USDHKD 1.8%, GBPUSD 1.7%, BRENT 1.5%, WTI 0.1%. Equities, ETFs and the CBOE yield indices are clean (0 violations).</t>
  </si>
  <si>
    <t>On days a cash market is shut, Dukascopy still streams a nominally-live CFD drifting by a fraction of a point. Those bars survive a naive stale-bar filter (High != Low) but represent no trading and give RV = 0.0. Worse, the same pattern occurs during outright FEED OUTAGES on days the exchange WAS open.</t>
  </si>
  <si>
    <t>Older code (and a lot of tutorials) divides ^TNX by 10. Yahoo's current data is ALREADY in percent. Dividing produced a 10-year Treasury yield ranging 0.05-0.91%, which is how the bug was caught.</t>
  </si>
  <si>
    <t>Free regional implied-vol indices exist for the US (VIX, VXN), Europe (VSTOXX, VDAX-NEW) and Japan from 2018 only (NKVI). There is no free UK or HK equivalent.</t>
  </si>
  <si>
    <t>Yahoo's HKD=X carries a 214-day gap ending 2003-12-01. This is a real hole in the source, not an orphan first observation.</t>
  </si>
  <si>
    <t>Intraday comes from a broker-quoted CFD; daily comes from the actual index. RV and returns therefore originate from different instruments.</t>
  </si>
  <si>
    <t>The Executive Summary suggests 2000 days. With intraday starting ~2013 that pushes the first Realized-GARCH forecast to ~2021.</t>
  </si>
  <si>
    <t>All 1440 minutes of the UTC day are present. Outside the cash session the last price repeats with volume 0. Including these injects zero returns and biases RV DOWNWARD.</t>
  </si>
  <si>
    <t>VFTSE was discontinued; VHSI is not freely redistributable. Nikkei VI is free only from 2018.</t>
  </si>
  <si>
    <t>RV for NKY is measured over Tokyo hours, SPX over New York hours. The same calendar date is not the same wall-clock window.</t>
  </si>
  <si>
    <t>Pairwise Diebold-Mariano over 6 indices x 4 models invites a multiple-comparisons objection.</t>
  </si>
  <si>
    <t>certifi was 2024.08.30; every HTTPS fetch failed with CERTIFICATE_VERIFY_FAILED.</t>
  </si>
  <si>
    <t>stoxx.com serves an incomplete certificate chain; standard verification fails.</t>
  </si>
  <si>
    <t>Flagged by the range check.</t>
  </si>
  <si>
    <t>Sparse backfill in the first months of VVIX.</t>
  </si>
  <si>
    <t>We established WHICH field is wrong rather than guessing: on GOLD's 441 violating days Close sits closer to the next day's Open (32.9 bp median) than the High/Low midpoint does (61.5 bp), so CLOSE is reliable and O/H/L are corrupted. No row is discarded; every macro file carries an OHLC_Consistent boolean. USE Close and LogReturn ONLY from the macro folder unless you filter on that flag.</t>
  </si>
  <si>
    <t>Sessions whose whole-day price range is under 4 bp are dropped and every one is logged to _validation/frozen_sessions_dropped.csv (see the Frozen_Sessions_Dropped sheet). Calibrated over 10,847 session-days: largest range among dropped days 2.90 bp, smallest among kept days 5.68 bp - two cleanly separated clusters. Caught UKX 2013-12-25/26 and 2014-01-01 (LSE closed) AND SPX 2013-02-25..28 / NDX 2013-02-26..28, a Dukascopy outage on days the exchange was open which were SPX's two largest CFD residuals.</t>
  </si>
  <si>
    <t>Verified against known history: raw ^TNX averages 8.55 in 1990, 6.02 in 2000, 0.88 in 2020 and prints 4.74 today. The /10 has been removed from script 10. Do not reintroduce it. US10Y_pct and US13W_pct in the panel are in PERCENT.</t>
  </si>
  <si>
    <t>The panel uses VXEFA (developed ex-US) for UKX and VXEEM (emerging markets) for HSI as DECLARED proxies, with the actual symbol recorded in a VolIdx_Symbol column so the substitution is never invisible. Disclose the substitution in the paper.</t>
  </si>
  <si>
    <t>Left as-is and documented. HKD is pegged and this is a minor covariate; the hole predates the 2011+ realized-measure window entirely, so it cannot affect the Realized GARCH sample.</t>
  </si>
  <si>
    <t>DONE - see the CFD_vs_Index sheet. CRITICAL SUBTLETY: the CFD return on day t is measured against the previous day PRESENT IN THE CFD FILE, so wherever the feed is missing a day it becomes a 2-day return compared against a 1-day index return. Those observations are not comparable and they dominate the residual variance. Excluding them changes the verdict outright: SPX R2 0.9785 -&gt; 0.9898, NDX 0.9173 -&gt; 0.9966, UKX 0.9087 -&gt; 0.9701. On the naive number NDX and UKX would have been WRONGLY DISCARDED. The headline figure is the aligned one; the naive one is kept beside it as R2_Naive_DoNotUse.</t>
  </si>
  <si>
    <t>Use 1000-1250 days. Document the choice as a design constraint, not an arbitrary pick.</t>
  </si>
  <si>
    <t>ALREADY HANDLED: session filtering in exchange-local time plus a (volume&gt;0 or High!=Low) filter. Do not bypass it.</t>
  </si>
  <si>
    <t>Use VXEFA (developed ex-US) for UKX/NKY and VXEEM (emerging) for HSI, plus VIX as a global factor. Disclose these as proxies.</t>
  </si>
  <si>
    <t>Fine while each index is modelled independently. If any cross-index analysis is added, align explicitly.</t>
  </si>
  <si>
    <t>Use Hansen Model Confidence Set (or Romano-Wolf stepdown) instead of a wall of DM p-values. Stronger result, fewer objections.</t>
  </si>
  <si>
    <t>FIXED: upgraded to certifi 2026.7.22. Pin certifi in requirements.txt so this does not recur.</t>
  </si>
  <si>
    <t>Script 02 uses an unverified context for that host only. The content is a static public index file, so exposure is minimal - but flag it in code review.</t>
  </si>
  <si>
    <t>GENUINE - the day after WTI settled negative (2020-04-20). Do not clean it out; it is a real tail event.</t>
  </si>
  <si>
    <t>Irrelevant - far outside the 2013+ analysis window.</t>
  </si>
  <si>
    <t>Researcher A</t>
  </si>
  <si>
    <t>Researcher A / B</t>
  </si>
  <si>
    <t>Researcher B</t>
  </si>
  <si>
    <t>Severity</t>
  </si>
  <si>
    <t>Issue</t>
  </si>
  <si>
    <t>Action</t>
  </si>
  <si>
    <t>Owner</t>
  </si>
  <si>
    <t>pandas</t>
  </si>
  <si>
    <t>numpy</t>
  </si>
  <si>
    <t>yfinance</t>
  </si>
  <si>
    <t>requests</t>
  </si>
  <si>
    <t>certifi</t>
  </si>
  <si>
    <t>lzma (stdlib)</t>
  </si>
  <si>
    <t>xlsxwriter</t>
  </si>
  <si>
    <t>pyarrow</t>
  </si>
  <si>
    <t>arch</t>
  </si>
  <si>
    <t>statsmodels</t>
  </si>
  <si>
    <t>scipy</t>
  </si>
  <si>
    <t>2.2.3</t>
  </si>
  <si>
    <t>2.x</t>
  </si>
  <si>
    <t>0.2.65</t>
  </si>
  <si>
    <t>2.34.2</t>
  </si>
  <si>
    <t>2026.7.22</t>
  </si>
  <si>
    <t>py3.12</t>
  </si>
  <si>
    <t>3.2.9</t>
  </si>
  <si>
    <t>24.0.0</t>
  </si>
  <si>
    <t>to install</t>
  </si>
  <si>
    <t>All tabular handling, resampling, joins</t>
  </si>
  <si>
    <t>Array maths, RV computation</t>
  </si>
  <si>
    <t>Daily index OHLCV + Nikkei VI</t>
  </si>
  <si>
    <t>HTTP with keep-alive sessions (critical for Dukascopy throughput)</t>
  </si>
  <si>
    <t>CA bundle - MUST be current or every fetch fails</t>
  </si>
  <si>
    <t>Decompress Dukascopy .bi5</t>
  </si>
  <si>
    <t>This report</t>
  </si>
  <si>
    <t>Optional Parquet mirror of large intraday files</t>
  </si>
  <si>
    <t>GARCH / GJR / EGARCH, VaR backtests</t>
  </si>
  <si>
    <t>QuantReg for quantile regression</t>
  </si>
  <si>
    <t>genpareto for EVT/GPD tail fitting</t>
  </si>
  <si>
    <t>All</t>
  </si>
  <si>
    <t>2,3</t>
  </si>
  <si>
    <t>3,4,6</t>
  </si>
  <si>
    <t>4</t>
  </si>
  <si>
    <t>8</t>
  </si>
  <si>
    <t>optional</t>
  </si>
  <si>
    <t>Modelling</t>
  </si>
  <si>
    <t>Library</t>
  </si>
  <si>
    <t>Version_Tested</t>
  </si>
  <si>
    <t>Purpose</t>
  </si>
  <si>
    <t>Phase</t>
  </si>
  <si>
    <t>Fix CA bundle (certifi)</t>
  </si>
  <si>
    <t>Verify all candidate sources before downloading</t>
  </si>
  <si>
    <t>Download daily index OHLCV (6)</t>
  </si>
  <si>
    <t>Download volatility indices (17)</t>
  </si>
  <si>
    <t>Download Dukascopy 1-min BID (6 indices)</t>
  </si>
  <si>
    <t>Build 5-min bars + realized measures</t>
  </si>
  <si>
    <t>FRED macro</t>
  </si>
  <si>
    <t>CFD-vs-index return correlation check</t>
  </si>
  <si>
    <t>Validation sweep (5 checks per file)</t>
  </si>
  <si>
    <t>Hand RV + returns + predictors to Researcher B</t>
  </si>
  <si>
    <t>DONE</t>
  </si>
  <si>
    <t>SEE Intraday_Files sheets</t>
  </si>
  <si>
    <t>SEE RV_Files sheet</t>
  </si>
  <si>
    <t>BLOCKED - needs your free API key</t>
  </si>
  <si>
    <t>SEE CFD_vs_Index sheet</t>
  </si>
  <si>
    <t>TODO</t>
  </si>
  <si>
    <t>A</t>
  </si>
  <si>
    <t>A/B</t>
  </si>
  <si>
    <t>2024.08.30 -&gt; 2026.7.22</t>
  </si>
  <si>
    <t>13 CBOE + 6 Yahoo + 3 STOXX + Dukascopy binary format all probed</t>
  </si>
  <si>
    <t>Each accepted only after 2 identical consecutive fetches</t>
  </si>
  <si>
    <t>CBOE + STOXX + Yahoo</t>
  </si>
  <si>
    <t>Resumable; rerun the same script to fill any gaps</t>
  </si>
  <si>
    <t>Session-filtered in exchange-local time</t>
  </si>
  <si>
    <t>Script ready; see Not_Downloaded sheet</t>
  </si>
  <si>
    <t>Must pass before modelling; see Risks HIGH #1</t>
  </si>
  <si>
    <t>See Validation sheet</t>
  </si>
  <si>
    <t>After step 8 passes</t>
  </si>
  <si>
    <t>Step</t>
  </si>
  <si>
    <t>Task</t>
  </si>
  <si>
    <t>Symbol;Open;High;Low;Close;Adj Close;Volume;LogReturn</t>
  </si>
  <si>
    <t>OK</t>
  </si>
  <si>
    <t>[9227, 9227]</t>
  </si>
  <si>
    <t>[9255, 9255]</t>
  </si>
  <si>
    <t>[9270, 9270]</t>
  </si>
  <si>
    <t>[8990, 8990]</t>
  </si>
  <si>
    <t>[9041, 9041]</t>
  </si>
  <si>
    <t>code</t>
  </si>
  <si>
    <t>ticker</t>
  </si>
  <si>
    <t>name</t>
  </si>
  <si>
    <t>country</t>
  </si>
  <si>
    <t>currency</t>
  </si>
  <si>
    <t>tz</t>
  </si>
  <si>
    <t>cols</t>
  </si>
  <si>
    <t>attempts</t>
  </si>
  <si>
    <t>VXEFA</t>
  </si>
  <si>
    <t>VVIX</t>
  </si>
  <si>
    <t>SKEW</t>
  </si>
  <si>
    <t>VIX9D</t>
  </si>
  <si>
    <t>VIX3M</t>
  </si>
  <si>
    <t>VIX6M</t>
  </si>
  <si>
    <t>RVX</t>
  </si>
  <si>
    <t>VXD</t>
  </si>
  <si>
    <t>OVX</t>
  </si>
  <si>
    <t>GVZ</t>
  </si>
  <si>
    <t>V2TX</t>
  </si>
  <si>
    <t>V1X</t>
  </si>
  <si>
    <t>V6I1</t>
  </si>
  <si>
    <t>NKVI</t>
  </si>
  <si>
    <t>cboe</t>
  </si>
  <si>
    <t>stoxx</t>
  </si>
  <si>
    <t>yahoo</t>
  </si>
  <si>
    <t>UKX/NKY</t>
  </si>
  <si>
    <t>global</t>
  </si>
  <si>
    <t>US small cap</t>
  </si>
  <si>
    <t>US</t>
  </si>
  <si>
    <t>oil</t>
  </si>
  <si>
    <t>gold</t>
  </si>
  <si>
    <t>EuroStoxx/UKX</t>
  </si>
  <si>
    <t>EuroStoxx</t>
  </si>
  <si>
    <t>CBOE Volatility Index (S&amp;P 500, 30d IV)</t>
  </si>
  <si>
    <t>CBOE Nasdaq-100 Volatility Index</t>
  </si>
  <si>
    <t>CBOE EFA ETF Vol Index - developed mkts ex-US proxy</t>
  </si>
  <si>
    <t>CBOE Emerging Markets ETF Vol Index - HSI proxy</t>
  </si>
  <si>
    <t>VIX of VIX (vol-of-vol)</t>
  </si>
  <si>
    <t>CBOE SKEW Index (tail risk)</t>
  </si>
  <si>
    <t>9-day VIX (term structure short end)</t>
  </si>
  <si>
    <t>3-month VIX</t>
  </si>
  <si>
    <t>6-month VIX</t>
  </si>
  <si>
    <t>Russell 2000 Volatility Index</t>
  </si>
  <si>
    <t>DJIA Volatility Index</t>
  </si>
  <si>
    <t>Crude Oil ETF Volatility Index</t>
  </si>
  <si>
    <t>Gold ETF Volatility Index</t>
  </si>
  <si>
    <t>VSTOXX - EURO STOXX 50 Volatility</t>
  </si>
  <si>
    <t>VDAX-NEW - DAX Volatility Index</t>
  </si>
  <si>
    <t>VSTOXX 1-month sub-index</t>
  </si>
  <si>
    <t>Nikkei 225 Volatility Index</t>
  </si>
  <si>
    <t>https://cdn.cboe.com/api/global/us_indices/daily_prices/VIX_History.csv</t>
  </si>
  <si>
    <t>https://cdn.cboe.com/api/global/us_indices/daily_prices/VXN_History.csv</t>
  </si>
  <si>
    <t>https://cdn.cboe.com/api/global/us_indices/daily_prices/VXEFA_History.csv</t>
  </si>
  <si>
    <t>https://cdn.cboe.com/api/global/us_indices/daily_prices/VXEEM_History.csv</t>
  </si>
  <si>
    <t>https://cdn.cboe.com/api/global/us_indices/daily_prices/VVIX_History.csv</t>
  </si>
  <si>
    <t>https://cdn.cboe.com/api/global/us_indices/daily_prices/SKEW_History.csv</t>
  </si>
  <si>
    <t>https://cdn.cboe.com/api/global/us_indices/daily_prices/VIX9D_History.csv</t>
  </si>
  <si>
    <t>https://cdn.cboe.com/api/global/us_indices/daily_prices/VIX3M_History.csv</t>
  </si>
  <si>
    <t>https://cdn.cboe.com/api/global/us_indices/daily_prices/VIX6M_History.csv</t>
  </si>
  <si>
    <t>https://cdn.cboe.com/api/global/us_indices/daily_prices/RVX_History.csv</t>
  </si>
  <si>
    <t>https://cdn.cboe.com/api/global/us_indices/daily_prices/VXD_History.csv</t>
  </si>
  <si>
    <t>https://cdn.cboe.com/api/global/us_indices/daily_prices/OVX_History.csv</t>
  </si>
  <si>
    <t>https://cdn.cboe.com/api/global/us_indices/daily_prices/GVZ_History.csv</t>
  </si>
  <si>
    <t>https://www.stoxx.com/document/Indices/Current/HistoricalData/h_v2tx.txt</t>
  </si>
  <si>
    <t>https://www.stoxx.com/document/Indices/Current/HistoricalData/h_v1x.txt</t>
  </si>
  <si>
    <t>https://www.stoxx.com/document/Indices/Current/HistoricalData/h_v6i1.txt</t>
  </si>
  <si>
    <t>yfinance ticker ^NKVI.OS</t>
  </si>
  <si>
    <t>kind</t>
  </si>
  <si>
    <t>tracks</t>
  </si>
  <si>
    <t>desc</t>
  </si>
  <si>
    <t>has_ohlc</t>
  </si>
  <si>
    <t>attempts_to_stable</t>
  </si>
  <si>
    <t>source_url</t>
  </si>
  <si>
    <t>start_year</t>
  </si>
  <si>
    <t>total_days</t>
  </si>
  <si>
    <t>empty</t>
  </si>
  <si>
    <t>fail</t>
  </si>
  <si>
    <t>cached</t>
  </si>
  <si>
    <t>days</t>
  </si>
  <si>
    <t>skipped</t>
  </si>
  <si>
    <t>median_bars_5min</t>
  </si>
  <si>
    <t>US10Y</t>
  </si>
  <si>
    <t>US5Y</t>
  </si>
  <si>
    <t>US30Y</t>
  </si>
  <si>
    <t>US13W</t>
  </si>
  <si>
    <t>DXY</t>
  </si>
  <si>
    <t>EURUSD</t>
  </si>
  <si>
    <t>USDJPY</t>
  </si>
  <si>
    <t>GBPUSD</t>
  </si>
  <si>
    <t>USDHKD</t>
  </si>
  <si>
    <t>WTI</t>
  </si>
  <si>
    <t>BRENT</t>
  </si>
  <si>
    <t>GOLD</t>
  </si>
  <si>
    <t>HYG</t>
  </si>
  <si>
    <t>LQD</t>
  </si>
  <si>
    <t>IEF</t>
  </si>
  <si>
    <t>TLT</t>
  </si>
  <si>
    <t>SPY</t>
  </si>
  <si>
    <t>QQQ</t>
  </si>
  <si>
    <t>EWU</t>
  </si>
  <si>
    <t>EWG</t>
  </si>
  <si>
    <t>EWJ</t>
  </si>
  <si>
    <t>EWH</t>
  </si>
  <si>
    <t>^TNX</t>
  </si>
  <si>
    <t>^FVX</t>
  </si>
  <si>
    <t>^TYX</t>
  </si>
  <si>
    <t>^IRX</t>
  </si>
  <si>
    <t>DX-Y.NYB</t>
  </si>
  <si>
    <t>EURUSD=X</t>
  </si>
  <si>
    <t>JPY=X</t>
  </si>
  <si>
    <t>GBPUSD=X</t>
  </si>
  <si>
    <t>HKD=X</t>
  </si>
  <si>
    <t>CL=F</t>
  </si>
  <si>
    <t>BZ=F</t>
  </si>
  <si>
    <t>GC=F</t>
  </si>
  <si>
    <t>rates</t>
  </si>
  <si>
    <t>fx</t>
  </si>
  <si>
    <t>commodity</t>
  </si>
  <si>
    <t>credit</t>
  </si>
  <si>
    <t>etf</t>
  </si>
  <si>
    <t>CBOE 10-Year Treasury yield index</t>
  </si>
  <si>
    <t>CBOE 5-Year Treasury yield index</t>
  </si>
  <si>
    <t>CBOE 30-Year Treasury yield index</t>
  </si>
  <si>
    <t>CBOE 13-Week T-Bill discount rate</t>
  </si>
  <si>
    <t>ICE US Dollar Index</t>
  </si>
  <si>
    <t>EUR/USD spot</t>
  </si>
  <si>
    <t>USD/JPY spot</t>
  </si>
  <si>
    <t>GBP/USD spot</t>
  </si>
  <si>
    <t>USD/HKD spot</t>
  </si>
  <si>
    <t>WTI crude front-month futures</t>
  </si>
  <si>
    <t>Brent crude front-month futures</t>
  </si>
  <si>
    <t>COMEX gold front-month futures</t>
  </si>
  <si>
    <t>iShares iBoxx High Yield Corp Bond ETF</t>
  </si>
  <si>
    <t>iShares iBoxx Inv Grade Corp Bond ETF</t>
  </si>
  <si>
    <t>iShares 7-10Y Treasury ETF (duration-matched leg)</t>
  </si>
  <si>
    <t>iShares 20+Y Treasury ETF</t>
  </si>
  <si>
    <t>SPDR S&amp;P 500 ETF (cross-check for SPX)</t>
  </si>
  <si>
    <t>Invesco QQQ, Nasdaq-100 ETF (cross-check NDX)</t>
  </si>
  <si>
    <t>iShares MSCI United Kingdom ETF (UKX region)</t>
  </si>
  <si>
    <t>iShares MSCI Germany ETF (DAX region)</t>
  </si>
  <si>
    <t>iShares MSCI Japan ETF (NKY region)</t>
  </si>
  <si>
    <t>iShares MSCI Hong Kong ETF (HSI region)</t>
  </si>
  <si>
    <t>Close/10 = percent</t>
  </si>
  <si>
    <t>index level</t>
  </si>
  <si>
    <t>USD per EUR</t>
  </si>
  <si>
    <t>JPY per USD</t>
  </si>
  <si>
    <t>USD per GBP</t>
  </si>
  <si>
    <t>HKD per USD</t>
  </si>
  <si>
    <t>USD/barrel</t>
  </si>
  <si>
    <t>USD/oz</t>
  </si>
  <si>
    <t>USD price</t>
  </si>
  <si>
    <t>DGS10</t>
  </si>
  <si>
    <t>DGS5</t>
  </si>
  <si>
    <t>DGS30</t>
  </si>
  <si>
    <t>DTB3</t>
  </si>
  <si>
    <t>DTWEXBGS</t>
  </si>
  <si>
    <t>DEXUSEU</t>
  </si>
  <si>
    <t>DEXJPUS</t>
  </si>
  <si>
    <t>DEXUSUK</t>
  </si>
  <si>
    <t>DEXHKUS</t>
  </si>
  <si>
    <t>DCOILWTICO</t>
  </si>
  <si>
    <t>DCOILBRENTEU</t>
  </si>
  <si>
    <t>BAMLH0A0HYM2 proxy</t>
  </si>
  <si>
    <t>BAMLC0A0CM proxy</t>
  </si>
  <si>
    <t>Open, High, Low, Close, LogReturn</t>
  </si>
  <si>
    <t>Close, LogReturn</t>
  </si>
  <si>
    <t>[9196, 9196]</t>
  </si>
  <si>
    <t>[9336, 9336]</t>
  </si>
  <si>
    <t>[5896, 5896]</t>
  </si>
  <si>
    <t>[7730, 7730]</t>
  </si>
  <si>
    <t>[5909, 5909]</t>
  </si>
  <si>
    <t>[6355, 6355]</t>
  </si>
  <si>
    <t>[6527, 6527]</t>
  </si>
  <si>
    <t>[4745, 4745]</t>
  </si>
  <si>
    <t>[6518, 6518]</t>
  </si>
  <si>
    <t>[4873, 4873]</t>
  </si>
  <si>
    <t>[6055, 6055]</t>
  </si>
  <si>
    <t>[8448, 8448]</t>
  </si>
  <si>
    <t>[6906, 6906]</t>
  </si>
  <si>
    <t>[7657, 7657]</t>
  </si>
  <si>
    <t>Yahoo Finance via yfinance</t>
  </si>
  <si>
    <t>macro/US10Y/US10Y_daily_1990-01-02_2026-08-21.csv</t>
  </si>
  <si>
    <t>macro/US5Y/US5Y_daily_1990-01-02_2026-08-21.csv</t>
  </si>
  <si>
    <t>macro/US30Y/US30Y_daily_1990-01-02_2026-08-21.csv</t>
  </si>
  <si>
    <t>macro/US13W/US13W_daily_1990-01-02_2026-08-21.csv</t>
  </si>
  <si>
    <t>macro/DXY/DXY_daily_1990-01-01_2026-08-21.csv</t>
  </si>
  <si>
    <t>macro/EURUSD/EURUSD_daily_2003-12-01_2026-08-21.csv</t>
  </si>
  <si>
    <t>macro/USDJPY/USDJPY_daily_1996-10-30_2026-08-21.csv</t>
  </si>
  <si>
    <t>macro/GBPUSD/GBPUSD_daily_2003-12-01_2026-08-23.csv</t>
  </si>
  <si>
    <t>macro/USDHKD/USDHKD_daily_2001-07-16_2026-08-23.csv</t>
  </si>
  <si>
    <t>macro/WTI/WTI_daily_2000-08-23_2026-08-21.csv</t>
  </si>
  <si>
    <t>macro/BRENT/BRENT_daily_2007-07-30_2026-08-21.csv</t>
  </si>
  <si>
    <t>macro/GOLD/GOLD_daily_2000-08-30_2026-08-21.csv</t>
  </si>
  <si>
    <t>macro/HYG/HYG_daily_2007-04-11_2026-08-21.csv</t>
  </si>
  <si>
    <t>macro/LQD/LQD_daily_2002-07-30_2026-08-21.csv</t>
  </si>
  <si>
    <t>macro/IEF/IEF_daily_2002-07-30_2026-08-21.csv</t>
  </si>
  <si>
    <t>macro/TLT/TLT_daily_2002-07-30_2026-08-21.csv</t>
  </si>
  <si>
    <t>macro/SPY/SPY_daily_1993-01-29_2026-08-21.csv</t>
  </si>
  <si>
    <t>macro/QQQ/QQQ_daily_1999-03-10_2026-08-21.csv</t>
  </si>
  <si>
    <t>macro/EWU/EWU_daily_1996-03-18_2026-08-21.csv</t>
  </si>
  <si>
    <t>macro/EWG/EWG_daily_1996-03-18_2026-08-21.csv</t>
  </si>
  <si>
    <t>macro/EWJ/EWJ_daily_1996-03-18_2026-08-21.csv</t>
  </si>
  <si>
    <t>macro/EWH/EWH_daily_1996-03-18_2026-08-21.csv</t>
  </si>
  <si>
    <t>Ticker</t>
  </si>
  <si>
    <t>Unit</t>
  </si>
  <si>
    <t>FRED_Analogue</t>
  </si>
  <si>
    <t>Rows</t>
  </si>
  <si>
    <t>Attempts</t>
  </si>
  <si>
    <t>Two_Identical_Fetches</t>
  </si>
  <si>
    <t>Rows_OHLC_Inconsistent</t>
  </si>
  <si>
    <t>Pct_OHLC_Inconsistent</t>
  </si>
  <si>
    <t>Use_Fields</t>
  </si>
  <si>
    <t>Fetch_Counts</t>
  </si>
  <si>
    <t>File</t>
  </si>
  <si>
    <t>panel/SPX_panel_daily.csv</t>
  </si>
  <si>
    <t>panel/NDX_panel_daily.csv</t>
  </si>
  <si>
    <t>panel/UKX_panel_daily.csv</t>
  </si>
  <si>
    <t>panel/DAX_panel_daily.csv</t>
  </si>
  <si>
    <t>panel/NKY_panel_daily.csv</t>
  </si>
  <si>
    <t>panel/HSI_panel_daily.csv</t>
  </si>
  <si>
    <t>Columns</t>
  </si>
  <si>
    <t>RV_Days</t>
  </si>
  <si>
    <t>RV_Coverage_Pct_Since_RV_Start</t>
  </si>
  <si>
    <t>VolIdx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</si>
</sst>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finance.yahoo.com" TargetMode="External"/><Relationship Id="rId2" Type="http://schemas.openxmlformats.org/officeDocument/2006/relationships/hyperlink" Target="https://cdn.cboe.com/api/global/us_indices/daily_prices/%7bSYMBOL%7d_History.csv" TargetMode="External"/><Relationship Id="rId3" Type="http://schemas.openxmlformats.org/officeDocument/2006/relationships/hyperlink" Target="https://www.stoxx.com/document/Indices/Current/HistoricalData/h_%7bcode%7d.txt" TargetMode="External"/><Relationship Id="rId4" Type="http://schemas.openxmlformats.org/officeDocument/2006/relationships/hyperlink" Target="https://datafeed.dukascopy.com/datafeed/%7bINSTRUMENT%7d/%7bYYYY%7d/%7bMM-1%7d/%7bDD%7d/BID_candles_min_1.bi5" TargetMode="External"/><Relationship Id="rId5" Type="http://schemas.openxmlformats.org/officeDocument/2006/relationships/hyperlink" Target="https://api.stlouisfed.org/fred/series/observations" TargetMode="External"/><Relationship Id="rId6" Type="http://schemas.openxmlformats.org/officeDocument/2006/relationships/hyperlink" Target="https://stooq.com/q/d/l/?s=%7bsym%7d&amp;i=d" TargetMode="External"/><Relationship Id="rId7" Type="http://schemas.openxmlformats.org/officeDocument/2006/relationships/hyperlink" Target="https://www.alphavantage.co" TargetMode="External"/><Relationship Id="rId8" Type="http://schemas.openxmlformats.org/officeDocument/2006/relationships/hyperlink" Target="https://fred.stlouisfed.org/series/SP500" TargetMode="External"/><Relationship Id="rId9" Type="http://schemas.openxmlformats.org/officeDocument/2006/relationships/hyperlink" Target="https://realized.oxford-man.ox.ac.uk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s://cdn.cboe.com/api/global/us_indices/daily_prices/VIX_History.csv" TargetMode="External"/><Relationship Id="rId2" Type="http://schemas.openxmlformats.org/officeDocument/2006/relationships/hyperlink" Target="https://cdn.cboe.com/api/global/us_indices/daily_prices/VXN_History.csv" TargetMode="External"/><Relationship Id="rId3" Type="http://schemas.openxmlformats.org/officeDocument/2006/relationships/hyperlink" Target="https://cdn.cboe.com/api/global/us_indices/daily_prices/VXEFA_History.csv" TargetMode="External"/><Relationship Id="rId4" Type="http://schemas.openxmlformats.org/officeDocument/2006/relationships/hyperlink" Target="https://cdn.cboe.com/api/global/us_indices/daily_prices/VXEEM_History.csv" TargetMode="External"/><Relationship Id="rId5" Type="http://schemas.openxmlformats.org/officeDocument/2006/relationships/hyperlink" Target="https://cdn.cboe.com/api/global/us_indices/daily_prices/VVIX_History.csv" TargetMode="External"/><Relationship Id="rId6" Type="http://schemas.openxmlformats.org/officeDocument/2006/relationships/hyperlink" Target="https://cdn.cboe.com/api/global/us_indices/daily_prices/SKEW_History.csv" TargetMode="External"/><Relationship Id="rId7" Type="http://schemas.openxmlformats.org/officeDocument/2006/relationships/hyperlink" Target="https://cdn.cboe.com/api/global/us_indices/daily_prices/VIX9D_History.csv" TargetMode="External"/><Relationship Id="rId8" Type="http://schemas.openxmlformats.org/officeDocument/2006/relationships/hyperlink" Target="https://cdn.cboe.com/api/global/us_indices/daily_prices/VIX3M_History.csv" TargetMode="External"/><Relationship Id="rId9" Type="http://schemas.openxmlformats.org/officeDocument/2006/relationships/hyperlink" Target="https://cdn.cboe.com/api/global/us_indices/daily_prices/VIX6M_History.csv" TargetMode="External"/><Relationship Id="rId10" Type="http://schemas.openxmlformats.org/officeDocument/2006/relationships/hyperlink" Target="https://cdn.cboe.com/api/global/us_indices/daily_prices/RVX_History.csv" TargetMode="External"/><Relationship Id="rId11" Type="http://schemas.openxmlformats.org/officeDocument/2006/relationships/hyperlink" Target="https://cdn.cboe.com/api/global/us_indices/daily_prices/VXD_History.csv" TargetMode="External"/><Relationship Id="rId12" Type="http://schemas.openxmlformats.org/officeDocument/2006/relationships/hyperlink" Target="https://cdn.cboe.com/api/global/us_indices/daily_prices/OVX_History.csv" TargetMode="External"/><Relationship Id="rId13" Type="http://schemas.openxmlformats.org/officeDocument/2006/relationships/hyperlink" Target="https://cdn.cboe.com/api/global/us_indices/daily_prices/GVZ_History.csv" TargetMode="External"/><Relationship Id="rId14" Type="http://schemas.openxmlformats.org/officeDocument/2006/relationships/hyperlink" Target="https://www.stoxx.com/document/Indices/Current/HistoricalData/h_v2tx.txt" TargetMode="External"/><Relationship Id="rId15" Type="http://schemas.openxmlformats.org/officeDocument/2006/relationships/hyperlink" Target="https://www.stoxx.com/document/Indices/Current/HistoricalData/h_v1x.txt" TargetMode="External"/><Relationship Id="rId16" Type="http://schemas.openxmlformats.org/officeDocument/2006/relationships/hyperlink" Target="https://www.stoxx.com/document/Indices/Current/HistoricalData/h_v6i1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1.7109375" style="1" customWidth="1"/>
    <col min="2" max="2" width="60.7109375" style="1" customWidth="1"/>
  </cols>
  <sheetData>
    <row r="1" spans="1:2">
      <c r="A1" s="2" t="s">
        <v>41</v>
      </c>
      <c r="B1" s="2" t="s">
        <v>42</v>
      </c>
    </row>
    <row r="2" spans="1:2">
      <c r="A2" s="1" t="s">
        <v>0</v>
      </c>
    </row>
    <row r="3" spans="1:2">
      <c r="A3" s="1" t="s">
        <v>1</v>
      </c>
      <c r="B3" s="1" t="s">
        <v>21</v>
      </c>
    </row>
    <row r="4" spans="1:2">
      <c r="A4" s="1" t="s">
        <v>2</v>
      </c>
      <c r="B4" s="1" t="s">
        <v>22</v>
      </c>
    </row>
    <row r="6" spans="1:2">
      <c r="A6" s="1" t="s">
        <v>3</v>
      </c>
      <c r="B6" s="1" t="s">
        <v>23</v>
      </c>
    </row>
    <row r="8" spans="1:2">
      <c r="A8" s="1">
        <f>== HEADLINE DECISIONS ===</f>
        <v>0</v>
      </c>
    </row>
    <row r="9" spans="1:2">
      <c r="A9" s="1" t="s">
        <v>4</v>
      </c>
      <c r="B9" s="1" t="s">
        <v>24</v>
      </c>
    </row>
    <row r="10" spans="1:2">
      <c r="A10" s="1" t="s">
        <v>5</v>
      </c>
      <c r="B10" s="1" t="s">
        <v>25</v>
      </c>
    </row>
    <row r="11" spans="1:2">
      <c r="A11" s="1" t="s">
        <v>6</v>
      </c>
      <c r="B11" s="1" t="s">
        <v>26</v>
      </c>
    </row>
    <row r="12" spans="1:2">
      <c r="A12" s="1" t="s">
        <v>7</v>
      </c>
      <c r="B12" s="1" t="s">
        <v>27</v>
      </c>
    </row>
    <row r="14" spans="1:2">
      <c r="A14" s="1">
        <f>== THE DATE-RANGE QUESTION (important) ===</f>
        <v>0</v>
      </c>
    </row>
    <row r="15" spans="1:2">
      <c r="A15" s="1" t="s">
        <v>8</v>
      </c>
      <c r="B15" s="1" t="s">
        <v>28</v>
      </c>
    </row>
    <row r="16" spans="1:2">
      <c r="A16" s="1" t="s">
        <v>9</v>
      </c>
      <c r="B16" s="1" t="s">
        <v>29</v>
      </c>
    </row>
    <row r="17" spans="1:2">
      <c r="A17" s="1" t="s">
        <v>10</v>
      </c>
      <c r="B17" s="1" t="s">
        <v>30</v>
      </c>
    </row>
    <row r="18" spans="1:2">
      <c r="A18" s="1" t="s">
        <v>11</v>
      </c>
      <c r="B18" s="1" t="s">
        <v>31</v>
      </c>
    </row>
    <row r="19" spans="1:2">
      <c r="A19" s="1" t="s">
        <v>12</v>
      </c>
      <c r="B19" s="1" t="s">
        <v>32</v>
      </c>
    </row>
    <row r="20" spans="1:2">
      <c r="A20" s="1" t="s">
        <v>13</v>
      </c>
      <c r="B20" s="1" t="s">
        <v>33</v>
      </c>
    </row>
    <row r="21" spans="1:2">
      <c r="A21" s="1" t="s">
        <v>14</v>
      </c>
      <c r="B21" s="1" t="s">
        <v>34</v>
      </c>
    </row>
    <row r="22" spans="1:2">
      <c r="A22" s="1" t="s">
        <v>15</v>
      </c>
      <c r="B22" s="1" t="s">
        <v>35</v>
      </c>
    </row>
    <row r="24" spans="1:2">
      <c r="A24" s="1">
        <f>== FILE FORMAT CONVENTIONS ===</f>
        <v>0</v>
      </c>
    </row>
    <row r="25" spans="1:2">
      <c r="A25" s="1" t="s">
        <v>16</v>
      </c>
      <c r="B25" s="1" t="s">
        <v>36</v>
      </c>
    </row>
    <row r="26" spans="1:2">
      <c r="A26" s="1" t="s">
        <v>17</v>
      </c>
      <c r="B26" s="1" t="s">
        <v>37</v>
      </c>
    </row>
    <row r="27" spans="1:2">
      <c r="A27" s="1" t="s">
        <v>18</v>
      </c>
      <c r="B27" s="1" t="s">
        <v>38</v>
      </c>
    </row>
    <row r="28" spans="1:2">
      <c r="A28" s="1" t="s">
        <v>19</v>
      </c>
      <c r="B28" s="1" t="s">
        <v>39</v>
      </c>
    </row>
    <row r="29" spans="1:2">
      <c r="A29" s="1" t="s">
        <v>20</v>
      </c>
      <c r="B29" s="1" t="s">
        <v>40</v>
      </c>
    </row>
  </sheetData>
  <autoFilter ref="A1:B2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style="1" customWidth="1"/>
    <col min="3" max="4" width="17.7109375" style="1" customWidth="1"/>
    <col min="5" max="5" width="14.7109375" style="1" customWidth="1"/>
    <col min="6" max="6" width="20.7109375" style="1" customWidth="1"/>
    <col min="7" max="7" width="28.7109375" style="1" customWidth="1"/>
    <col min="8" max="9" width="14.7109375" style="1" customWidth="1"/>
    <col min="10" max="10" width="16.7109375" style="1" customWidth="1"/>
    <col min="11" max="11" width="21.7109375" style="1" customWidth="1"/>
    <col min="12" max="12" width="55.7109375" style="1" customWidth="1"/>
  </cols>
  <sheetData>
    <row r="1" spans="1:12">
      <c r="A1" s="2" t="s">
        <v>100</v>
      </c>
      <c r="B1" s="2" t="s">
        <v>101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107</v>
      </c>
      <c r="I1" s="2" t="s">
        <v>108</v>
      </c>
      <c r="J1" s="2" t="s">
        <v>109</v>
      </c>
      <c r="K1" s="2" t="s">
        <v>110</v>
      </c>
      <c r="L1" s="2" t="s">
        <v>111</v>
      </c>
    </row>
    <row r="2" spans="1:12">
      <c r="A2" s="1" t="s">
        <v>43</v>
      </c>
      <c r="B2" s="1" t="s">
        <v>49</v>
      </c>
      <c r="C2" s="1" t="s">
        <v>55</v>
      </c>
      <c r="D2" s="1" t="s">
        <v>58</v>
      </c>
      <c r="E2" s="1" t="s">
        <v>63</v>
      </c>
      <c r="F2" s="1" t="s">
        <v>68</v>
      </c>
      <c r="G2" s="1" t="s">
        <v>73</v>
      </c>
      <c r="H2" s="1">
        <v>78</v>
      </c>
      <c r="I2" s="1" t="s">
        <v>78</v>
      </c>
      <c r="J2" s="1" t="s">
        <v>84</v>
      </c>
      <c r="K2" s="1" t="s">
        <v>90</v>
      </c>
      <c r="L2" s="1" t="s">
        <v>96</v>
      </c>
    </row>
    <row r="3" spans="1:12">
      <c r="A3" s="1" t="s">
        <v>44</v>
      </c>
      <c r="B3" s="1" t="s">
        <v>50</v>
      </c>
      <c r="C3" s="1" t="s">
        <v>55</v>
      </c>
      <c r="D3" s="1" t="s">
        <v>58</v>
      </c>
      <c r="E3" s="1" t="s">
        <v>63</v>
      </c>
      <c r="F3" s="1" t="s">
        <v>68</v>
      </c>
      <c r="G3" s="1" t="s">
        <v>73</v>
      </c>
      <c r="H3" s="1">
        <v>78</v>
      </c>
      <c r="I3" s="1" t="s">
        <v>79</v>
      </c>
      <c r="J3" s="1" t="s">
        <v>85</v>
      </c>
      <c r="K3" s="1" t="s">
        <v>91</v>
      </c>
      <c r="L3" s="1" t="s">
        <v>96</v>
      </c>
    </row>
    <row r="4" spans="1:12">
      <c r="A4" s="1" t="s">
        <v>45</v>
      </c>
      <c r="B4" s="1" t="s">
        <v>51</v>
      </c>
      <c r="C4" s="1" t="s">
        <v>56</v>
      </c>
      <c r="D4" s="1" t="s">
        <v>59</v>
      </c>
      <c r="E4" s="1" t="s">
        <v>64</v>
      </c>
      <c r="F4" s="1" t="s">
        <v>69</v>
      </c>
      <c r="G4" s="1" t="s">
        <v>74</v>
      </c>
      <c r="H4" s="1">
        <v>102</v>
      </c>
      <c r="I4" s="1" t="s">
        <v>80</v>
      </c>
      <c r="J4" s="1" t="s">
        <v>86</v>
      </c>
      <c r="K4" s="1" t="s">
        <v>92</v>
      </c>
      <c r="L4" s="1" t="s">
        <v>97</v>
      </c>
    </row>
    <row r="5" spans="1:12">
      <c r="A5" s="1" t="s">
        <v>46</v>
      </c>
      <c r="B5" s="1" t="s">
        <v>52</v>
      </c>
      <c r="C5" s="1" t="s">
        <v>56</v>
      </c>
      <c r="D5" s="1" t="s">
        <v>60</v>
      </c>
      <c r="E5" s="1" t="s">
        <v>65</v>
      </c>
      <c r="F5" s="1" t="s">
        <v>70</v>
      </c>
      <c r="G5" s="1" t="s">
        <v>75</v>
      </c>
      <c r="H5" s="1">
        <v>102</v>
      </c>
      <c r="I5" s="1" t="s">
        <v>81</v>
      </c>
      <c r="J5" s="1" t="s">
        <v>87</v>
      </c>
      <c r="K5" s="1" t="s">
        <v>93</v>
      </c>
      <c r="L5" s="1" t="s">
        <v>96</v>
      </c>
    </row>
    <row r="6" spans="1:12">
      <c r="A6" s="1" t="s">
        <v>47</v>
      </c>
      <c r="B6" s="1" t="s">
        <v>53</v>
      </c>
      <c r="C6" s="1" t="s">
        <v>57</v>
      </c>
      <c r="D6" s="1" t="s">
        <v>61</v>
      </c>
      <c r="E6" s="1" t="s">
        <v>66</v>
      </c>
      <c r="F6" s="1" t="s">
        <v>71</v>
      </c>
      <c r="G6" s="1" t="s">
        <v>76</v>
      </c>
      <c r="H6" s="1">
        <v>60</v>
      </c>
      <c r="I6" s="1" t="s">
        <v>82</v>
      </c>
      <c r="J6" s="1" t="s">
        <v>88</v>
      </c>
      <c r="K6" s="1" t="s">
        <v>94</v>
      </c>
      <c r="L6" s="1" t="s">
        <v>98</v>
      </c>
    </row>
    <row r="7" spans="1:12">
      <c r="A7" s="1" t="s">
        <v>48</v>
      </c>
      <c r="B7" s="1" t="s">
        <v>54</v>
      </c>
      <c r="C7" s="1" t="s">
        <v>57</v>
      </c>
      <c r="D7" s="1" t="s">
        <v>62</v>
      </c>
      <c r="E7" s="1" t="s">
        <v>67</v>
      </c>
      <c r="F7" s="1" t="s">
        <v>72</v>
      </c>
      <c r="G7" s="1" t="s">
        <v>77</v>
      </c>
      <c r="H7" s="1">
        <v>66</v>
      </c>
      <c r="I7" s="1" t="s">
        <v>83</v>
      </c>
      <c r="J7" s="1" t="s">
        <v>89</v>
      </c>
      <c r="K7" s="1" t="s">
        <v>95</v>
      </c>
      <c r="L7" s="1" t="s">
        <v>99</v>
      </c>
    </row>
  </sheetData>
  <autoFilter ref="A1:L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style="1" customWidth="1"/>
    <col min="2" max="2" width="39.7109375" style="1" customWidth="1"/>
    <col min="3" max="3" width="41.7109375" style="1" customWidth="1"/>
    <col min="4" max="4" width="60.7109375" style="1" customWidth="1"/>
    <col min="5" max="5" width="14.7109375" style="1" customWidth="1"/>
    <col min="6" max="6" width="40.7109375" style="1" customWidth="1"/>
    <col min="7" max="7" width="14.7109375" style="1" customWidth="1"/>
    <col min="8" max="8" width="60.7109375" style="1" customWidth="1"/>
    <col min="9" max="9" width="14.7109375" style="1" customWidth="1"/>
    <col min="10" max="10" width="33.7109375" style="1" customWidth="1"/>
  </cols>
  <sheetData>
    <row r="1" spans="1:10">
      <c r="A1" s="2" t="s">
        <v>175</v>
      </c>
      <c r="B1" s="2" t="s">
        <v>176</v>
      </c>
      <c r="C1" s="2" t="s">
        <v>177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</row>
    <row r="2" spans="1:10">
      <c r="A2" s="1" t="s">
        <v>112</v>
      </c>
      <c r="B2" s="1" t="s">
        <v>121</v>
      </c>
      <c r="C2" s="1" t="s">
        <v>130</v>
      </c>
      <c r="D2" s="3" t="s">
        <v>139</v>
      </c>
      <c r="E2" s="1" t="s">
        <v>148</v>
      </c>
      <c r="F2" s="1" t="s">
        <v>152</v>
      </c>
      <c r="G2" s="1" t="s">
        <v>158</v>
      </c>
      <c r="H2" s="1" t="s">
        <v>160</v>
      </c>
      <c r="I2" s="1" t="s">
        <v>22</v>
      </c>
      <c r="J2" s="1" t="s">
        <v>169</v>
      </c>
    </row>
    <row r="3" spans="1:10">
      <c r="A3" s="1" t="s">
        <v>113</v>
      </c>
      <c r="B3" s="1" t="s">
        <v>122</v>
      </c>
      <c r="C3" s="1" t="s">
        <v>131</v>
      </c>
      <c r="D3" s="3" t="s">
        <v>140</v>
      </c>
      <c r="E3" s="1" t="s">
        <v>148</v>
      </c>
      <c r="F3" s="1" t="s">
        <v>153</v>
      </c>
      <c r="G3" s="1" t="s">
        <v>158</v>
      </c>
      <c r="H3" s="1" t="s">
        <v>161</v>
      </c>
      <c r="I3" s="1" t="s">
        <v>22</v>
      </c>
      <c r="J3" s="1" t="s">
        <v>169</v>
      </c>
    </row>
    <row r="4" spans="1:10">
      <c r="A4" s="1" t="s">
        <v>114</v>
      </c>
      <c r="B4" s="1" t="s">
        <v>123</v>
      </c>
      <c r="C4" s="1" t="s">
        <v>132</v>
      </c>
      <c r="D4" s="3" t="s">
        <v>141</v>
      </c>
      <c r="E4" s="1" t="s">
        <v>148</v>
      </c>
      <c r="F4" s="1" t="s">
        <v>153</v>
      </c>
      <c r="G4" s="1" t="s">
        <v>158</v>
      </c>
      <c r="H4" s="1" t="s">
        <v>162</v>
      </c>
      <c r="I4" s="1" t="s">
        <v>22</v>
      </c>
      <c r="J4" s="1" t="s">
        <v>170</v>
      </c>
    </row>
    <row r="5" spans="1:10">
      <c r="A5" s="1" t="s">
        <v>115</v>
      </c>
      <c r="B5" s="1" t="s">
        <v>124</v>
      </c>
      <c r="C5" s="1" t="s">
        <v>133</v>
      </c>
      <c r="D5" s="3" t="s">
        <v>142</v>
      </c>
      <c r="E5" s="1" t="s">
        <v>148</v>
      </c>
      <c r="F5" s="1" t="s">
        <v>154</v>
      </c>
      <c r="G5" s="1" t="s">
        <v>158</v>
      </c>
      <c r="H5" s="1" t="s">
        <v>163</v>
      </c>
      <c r="I5" s="1" t="s">
        <v>22</v>
      </c>
      <c r="J5" s="1" t="s">
        <v>169</v>
      </c>
    </row>
    <row r="6" spans="1:10">
      <c r="A6" s="1" t="s">
        <v>116</v>
      </c>
      <c r="B6" s="1" t="s">
        <v>125</v>
      </c>
      <c r="C6" s="1" t="s">
        <v>134</v>
      </c>
      <c r="D6" s="3" t="s">
        <v>143</v>
      </c>
      <c r="E6" s="1" t="s">
        <v>149</v>
      </c>
      <c r="F6" s="1" t="s">
        <v>155</v>
      </c>
      <c r="G6" s="1" t="s">
        <v>158</v>
      </c>
      <c r="H6" s="1" t="s">
        <v>164</v>
      </c>
      <c r="I6" s="1" t="s">
        <v>22</v>
      </c>
      <c r="J6" s="1" t="s">
        <v>171</v>
      </c>
    </row>
    <row r="7" spans="1:10">
      <c r="A7" s="1" t="s">
        <v>117</v>
      </c>
      <c r="B7" s="1" t="s">
        <v>126</v>
      </c>
      <c r="C7" s="1" t="s">
        <v>135</v>
      </c>
      <c r="D7" s="3" t="s">
        <v>144</v>
      </c>
      <c r="E7" s="1" t="s">
        <v>148</v>
      </c>
      <c r="F7" s="1" t="s">
        <v>156</v>
      </c>
      <c r="G7" s="1" t="s">
        <v>158</v>
      </c>
      <c r="H7" s="1" t="s">
        <v>165</v>
      </c>
      <c r="I7" s="1" t="s">
        <v>22</v>
      </c>
      <c r="J7" s="1" t="s">
        <v>172</v>
      </c>
    </row>
    <row r="8" spans="1:10">
      <c r="A8" s="1" t="s">
        <v>118</v>
      </c>
      <c r="B8" s="1" t="s">
        <v>127</v>
      </c>
      <c r="C8" s="1" t="s">
        <v>136</v>
      </c>
      <c r="D8" s="3" t="s">
        <v>145</v>
      </c>
      <c r="E8" s="1" t="s">
        <v>150</v>
      </c>
      <c r="F8" s="1" t="s">
        <v>157</v>
      </c>
      <c r="G8" s="1" t="s">
        <v>159</v>
      </c>
      <c r="H8" s="1" t="s">
        <v>166</v>
      </c>
      <c r="I8" s="1" t="s">
        <v>22</v>
      </c>
      <c r="J8" s="1" t="s">
        <v>173</v>
      </c>
    </row>
    <row r="9" spans="1:10">
      <c r="A9" s="1" t="s">
        <v>119</v>
      </c>
      <c r="B9" s="1" t="s">
        <v>128</v>
      </c>
      <c r="C9" s="1" t="s">
        <v>137</v>
      </c>
      <c r="D9" s="3" t="s">
        <v>146</v>
      </c>
      <c r="E9" s="1" t="s">
        <v>151</v>
      </c>
      <c r="F9" s="1" t="s">
        <v>138</v>
      </c>
      <c r="G9" s="1" t="s">
        <v>158</v>
      </c>
      <c r="H9" s="1" t="s">
        <v>167</v>
      </c>
      <c r="I9" s="1" t="s">
        <v>22</v>
      </c>
      <c r="J9" s="1" t="s">
        <v>173</v>
      </c>
    </row>
    <row r="10" spans="1:10">
      <c r="A10" s="1" t="s">
        <v>120</v>
      </c>
      <c r="B10" s="1" t="s">
        <v>129</v>
      </c>
      <c r="C10" s="1" t="s">
        <v>138</v>
      </c>
      <c r="D10" s="3" t="s">
        <v>147</v>
      </c>
      <c r="E10" s="1" t="s">
        <v>138</v>
      </c>
      <c r="F10" s="1" t="s">
        <v>138</v>
      </c>
      <c r="G10" s="1" t="s">
        <v>158</v>
      </c>
      <c r="H10" s="1" t="s">
        <v>168</v>
      </c>
      <c r="I10" s="1" t="s">
        <v>22</v>
      </c>
      <c r="J10" s="1" t="s">
        <v>174</v>
      </c>
    </row>
  </sheetData>
  <autoFilter ref="A1:J10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60.7109375" style="1" customWidth="1"/>
  </cols>
  <sheetData>
    <row r="1" spans="1:6">
      <c r="A1" s="2" t="s">
        <v>41</v>
      </c>
      <c r="B1" s="2" t="s">
        <v>203</v>
      </c>
      <c r="C1" s="2" t="s">
        <v>204</v>
      </c>
      <c r="D1" s="2" t="s">
        <v>205</v>
      </c>
      <c r="E1" s="2" t="s">
        <v>206</v>
      </c>
      <c r="F1" s="2" t="s">
        <v>207</v>
      </c>
    </row>
    <row r="2" spans="1:6">
      <c r="A2" s="1" t="s">
        <v>185</v>
      </c>
      <c r="B2" s="1" t="s">
        <v>188</v>
      </c>
      <c r="C2" s="1" t="s">
        <v>191</v>
      </c>
      <c r="D2" s="1" t="s">
        <v>194</v>
      </c>
      <c r="E2" s="1" t="s">
        <v>197</v>
      </c>
      <c r="F2" s="1" t="s">
        <v>200</v>
      </c>
    </row>
    <row r="3" spans="1:6">
      <c r="A3" s="1" t="s">
        <v>186</v>
      </c>
      <c r="B3" s="1" t="s">
        <v>189</v>
      </c>
      <c r="C3" s="1" t="s">
        <v>192</v>
      </c>
      <c r="D3" s="1" t="s">
        <v>195</v>
      </c>
      <c r="E3" s="1" t="s">
        <v>198</v>
      </c>
      <c r="F3" s="1" t="s">
        <v>201</v>
      </c>
    </row>
    <row r="4" spans="1:6">
      <c r="A4" s="1" t="s">
        <v>187</v>
      </c>
      <c r="B4" s="1" t="s">
        <v>190</v>
      </c>
      <c r="C4" s="1" t="s">
        <v>193</v>
      </c>
      <c r="D4" s="1" t="s">
        <v>196</v>
      </c>
      <c r="E4" s="1" t="s">
        <v>199</v>
      </c>
      <c r="F4" s="1" t="s">
        <v>202</v>
      </c>
    </row>
  </sheetData>
  <autoFilter ref="A1:F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6.7109375" style="1" customWidth="1"/>
    <col min="3" max="12" width="14.7109375" style="1" customWidth="1"/>
    <col min="13" max="13" width="50.7109375" style="1" customWidth="1"/>
    <col min="14" max="14" width="52.7109375" style="1" customWidth="1"/>
  </cols>
  <sheetData>
    <row r="1" spans="1:14">
      <c r="A1" s="2" t="s">
        <v>100</v>
      </c>
      <c r="B1" s="2" t="s">
        <v>109</v>
      </c>
      <c r="C1" s="2" t="s">
        <v>220</v>
      </c>
      <c r="D1" s="2" t="s">
        <v>221</v>
      </c>
      <c r="E1" s="2" t="s">
        <v>222</v>
      </c>
      <c r="F1" s="2" t="s">
        <v>223</v>
      </c>
      <c r="G1" s="2" t="s">
        <v>224</v>
      </c>
      <c r="H1" s="2" t="s">
        <v>225</v>
      </c>
      <c r="I1" s="2" t="s">
        <v>226</v>
      </c>
      <c r="J1" s="2" t="s">
        <v>227</v>
      </c>
      <c r="K1" s="2" t="s">
        <v>184</v>
      </c>
      <c r="L1" s="2" t="s">
        <v>228</v>
      </c>
      <c r="M1" s="2" t="s">
        <v>229</v>
      </c>
      <c r="N1" s="2" t="s">
        <v>230</v>
      </c>
    </row>
    <row r="2" spans="1:14">
      <c r="A2" s="1" t="s">
        <v>43</v>
      </c>
      <c r="B2" s="1" t="s">
        <v>84</v>
      </c>
      <c r="C2" s="1">
        <v>4080</v>
      </c>
      <c r="D2" s="1">
        <v>4080</v>
      </c>
      <c r="E2" s="1">
        <v>100</v>
      </c>
      <c r="F2" s="1">
        <v>3755</v>
      </c>
      <c r="G2" s="1" t="s">
        <v>208</v>
      </c>
      <c r="H2" s="1" t="s">
        <v>211</v>
      </c>
      <c r="I2" s="1">
        <v>78</v>
      </c>
      <c r="J2" s="1">
        <v>0</v>
      </c>
      <c r="K2" s="1" t="s">
        <v>212</v>
      </c>
      <c r="L2" s="1">
        <v>0</v>
      </c>
      <c r="M2" s="1" t="s">
        <v>213</v>
      </c>
      <c r="N2" s="1" t="s">
        <v>214</v>
      </c>
    </row>
    <row r="3" spans="1:14">
      <c r="A3" s="1" t="s">
        <v>44</v>
      </c>
      <c r="B3" s="1" t="s">
        <v>85</v>
      </c>
      <c r="C3" s="1">
        <v>4074</v>
      </c>
      <c r="D3" s="1">
        <v>4080</v>
      </c>
      <c r="E3" s="1">
        <v>99.90000000000001</v>
      </c>
      <c r="F3" s="1">
        <v>3733</v>
      </c>
      <c r="G3" s="1" t="s">
        <v>208</v>
      </c>
      <c r="H3" s="1" t="s">
        <v>211</v>
      </c>
      <c r="I3" s="1">
        <v>78</v>
      </c>
      <c r="J3" s="1">
        <v>6</v>
      </c>
      <c r="K3" s="1" t="s">
        <v>212</v>
      </c>
      <c r="L3" s="1">
        <v>0</v>
      </c>
      <c r="M3" s="1" t="s">
        <v>213</v>
      </c>
      <c r="N3" s="1" t="s">
        <v>215</v>
      </c>
    </row>
    <row r="4" spans="1:14">
      <c r="A4" s="1" t="s">
        <v>45</v>
      </c>
      <c r="B4" s="1" t="s">
        <v>86</v>
      </c>
      <c r="C4" s="1">
        <v>4080</v>
      </c>
      <c r="D4" s="1">
        <v>4080</v>
      </c>
      <c r="E4" s="1">
        <v>100</v>
      </c>
      <c r="F4" s="1">
        <v>3728</v>
      </c>
      <c r="G4" s="1" t="s">
        <v>208</v>
      </c>
      <c r="H4" s="1" t="s">
        <v>211</v>
      </c>
      <c r="I4" s="1">
        <v>102</v>
      </c>
      <c r="J4" s="1">
        <v>0</v>
      </c>
      <c r="K4" s="1" t="s">
        <v>212</v>
      </c>
      <c r="L4" s="1">
        <v>0</v>
      </c>
      <c r="M4" s="1" t="s">
        <v>213</v>
      </c>
      <c r="N4" s="1" t="s">
        <v>216</v>
      </c>
    </row>
    <row r="5" spans="1:14">
      <c r="A5" s="1" t="s">
        <v>46</v>
      </c>
      <c r="B5" s="1" t="s">
        <v>87</v>
      </c>
      <c r="C5" s="1">
        <v>3551</v>
      </c>
      <c r="D5" s="1">
        <v>3559</v>
      </c>
      <c r="E5" s="1">
        <v>99.8</v>
      </c>
      <c r="F5" s="1">
        <v>3307</v>
      </c>
      <c r="G5" s="1" t="s">
        <v>209</v>
      </c>
      <c r="H5" s="1" t="s">
        <v>211</v>
      </c>
      <c r="I5" s="1">
        <v>102</v>
      </c>
      <c r="J5" s="1">
        <v>8</v>
      </c>
      <c r="K5" s="1" t="s">
        <v>212</v>
      </c>
      <c r="L5" s="1">
        <v>0</v>
      </c>
      <c r="M5" s="1" t="s">
        <v>213</v>
      </c>
      <c r="N5" s="1" t="s">
        <v>217</v>
      </c>
    </row>
    <row r="6" spans="1:14">
      <c r="A6" s="1" t="s">
        <v>47</v>
      </c>
      <c r="B6" s="1" t="s">
        <v>88</v>
      </c>
      <c r="C6" s="1">
        <v>4080</v>
      </c>
      <c r="D6" s="1">
        <v>4080</v>
      </c>
      <c r="E6" s="1">
        <v>100</v>
      </c>
      <c r="F6" s="1">
        <v>3543</v>
      </c>
      <c r="G6" s="1" t="s">
        <v>210</v>
      </c>
      <c r="H6" s="1" t="s">
        <v>211</v>
      </c>
      <c r="I6" s="1">
        <v>60</v>
      </c>
      <c r="J6" s="1">
        <v>0</v>
      </c>
      <c r="K6" s="1" t="s">
        <v>212</v>
      </c>
      <c r="L6" s="1">
        <v>0</v>
      </c>
      <c r="M6" s="1" t="s">
        <v>213</v>
      </c>
      <c r="N6" s="1" t="s">
        <v>218</v>
      </c>
    </row>
    <row r="7" spans="1:14">
      <c r="A7" s="1" t="s">
        <v>48</v>
      </c>
      <c r="B7" s="1" t="s">
        <v>89</v>
      </c>
      <c r="C7" s="1">
        <v>4080</v>
      </c>
      <c r="D7" s="1">
        <v>4080</v>
      </c>
      <c r="E7" s="1">
        <v>100</v>
      </c>
      <c r="F7" s="1">
        <v>3576</v>
      </c>
      <c r="G7" s="1" t="s">
        <v>208</v>
      </c>
      <c r="H7" s="1" t="s">
        <v>211</v>
      </c>
      <c r="I7" s="1">
        <v>66</v>
      </c>
      <c r="J7" s="1">
        <v>0</v>
      </c>
      <c r="K7" s="1" t="s">
        <v>212</v>
      </c>
      <c r="L7" s="1">
        <v>0</v>
      </c>
      <c r="M7" s="1" t="s">
        <v>213</v>
      </c>
      <c r="N7" s="1" t="s">
        <v>219</v>
      </c>
    </row>
  </sheetData>
  <autoFilter ref="A1:N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9.7109375" style="1" customWidth="1"/>
    <col min="2" max="5" width="14.7109375" style="1" customWidth="1"/>
    <col min="6" max="6" width="60.7109375" style="1" customWidth="1"/>
  </cols>
  <sheetData>
    <row r="1" spans="1:6">
      <c r="A1" s="2" t="s">
        <v>246</v>
      </c>
      <c r="B1" s="2" t="s">
        <v>247</v>
      </c>
      <c r="C1" s="2" t="s">
        <v>248</v>
      </c>
      <c r="D1" s="2" t="s">
        <v>249</v>
      </c>
      <c r="E1" s="2" t="s">
        <v>250</v>
      </c>
      <c r="F1" s="2" t="s">
        <v>251</v>
      </c>
    </row>
    <row r="2" spans="1:6">
      <c r="A2" s="1" t="s">
        <v>231</v>
      </c>
      <c r="B2" s="1">
        <v>9270</v>
      </c>
      <c r="C2" s="1" t="s">
        <v>237</v>
      </c>
      <c r="D2" s="1" t="s">
        <v>211</v>
      </c>
      <c r="E2" s="1" t="s">
        <v>239</v>
      </c>
      <c r="F2" s="1" t="s">
        <v>245</v>
      </c>
    </row>
    <row r="3" spans="1:6">
      <c r="A3" s="1" t="s">
        <v>232</v>
      </c>
      <c r="B3" s="1">
        <v>9041</v>
      </c>
      <c r="C3" s="1" t="s">
        <v>237</v>
      </c>
      <c r="D3" s="1" t="s">
        <v>211</v>
      </c>
      <c r="E3" s="1" t="s">
        <v>240</v>
      </c>
      <c r="F3" s="1" t="s">
        <v>245</v>
      </c>
    </row>
    <row r="4" spans="1:6">
      <c r="A4" s="1" t="s">
        <v>233</v>
      </c>
      <c r="B4" s="1">
        <v>9227</v>
      </c>
      <c r="C4" s="1" t="s">
        <v>237</v>
      </c>
      <c r="D4" s="1" t="s">
        <v>211</v>
      </c>
      <c r="E4" s="1" t="s">
        <v>241</v>
      </c>
      <c r="F4" s="1" t="s">
        <v>245</v>
      </c>
    </row>
    <row r="5" spans="1:6">
      <c r="A5" s="1" t="s">
        <v>234</v>
      </c>
      <c r="B5" s="1">
        <v>8990</v>
      </c>
      <c r="C5" s="1" t="s">
        <v>238</v>
      </c>
      <c r="D5" s="1" t="s">
        <v>211</v>
      </c>
      <c r="E5" s="1" t="s">
        <v>242</v>
      </c>
      <c r="F5" s="1" t="s">
        <v>245</v>
      </c>
    </row>
    <row r="6" spans="1:6">
      <c r="A6" s="1" t="s">
        <v>235</v>
      </c>
      <c r="B6" s="1">
        <v>9227</v>
      </c>
      <c r="C6" s="1" t="s">
        <v>237</v>
      </c>
      <c r="D6" s="1" t="s">
        <v>211</v>
      </c>
      <c r="E6" s="1" t="s">
        <v>243</v>
      </c>
      <c r="F6" s="1" t="s">
        <v>245</v>
      </c>
    </row>
    <row r="7" spans="1:6">
      <c r="A7" s="1" t="s">
        <v>236</v>
      </c>
      <c r="B7" s="1">
        <v>9255</v>
      </c>
      <c r="C7" s="1" t="s">
        <v>237</v>
      </c>
      <c r="D7" s="1" t="s">
        <v>211</v>
      </c>
      <c r="E7" s="1" t="s">
        <v>244</v>
      </c>
      <c r="F7" s="1" t="s">
        <v>245</v>
      </c>
    </row>
  </sheetData>
  <autoFilter ref="A1:F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8.7109375" style="1" customWidth="1"/>
    <col min="2" max="5" width="14.7109375" style="1" customWidth="1"/>
    <col min="6" max="6" width="40.7109375" style="1" customWidth="1"/>
  </cols>
  <sheetData>
    <row r="1" spans="1:6">
      <c r="A1" s="2" t="s">
        <v>246</v>
      </c>
      <c r="B1" s="2" t="s">
        <v>247</v>
      </c>
      <c r="C1" s="2" t="s">
        <v>248</v>
      </c>
      <c r="D1" s="2" t="s">
        <v>249</v>
      </c>
      <c r="E1" s="2" t="s">
        <v>250</v>
      </c>
      <c r="F1" s="2" t="s">
        <v>251</v>
      </c>
    </row>
    <row r="2" spans="1:6">
      <c r="A2" s="1" t="s">
        <v>252</v>
      </c>
      <c r="B2" s="1">
        <v>4255</v>
      </c>
      <c r="C2" s="1" t="s">
        <v>269</v>
      </c>
      <c r="D2" s="1" t="s">
        <v>211</v>
      </c>
      <c r="E2" s="1" t="s">
        <v>280</v>
      </c>
      <c r="F2" s="1" t="s">
        <v>295</v>
      </c>
    </row>
    <row r="3" spans="1:6">
      <c r="A3" s="1" t="s">
        <v>253</v>
      </c>
      <c r="B3" s="1">
        <v>2088</v>
      </c>
      <c r="C3" s="1" t="s">
        <v>270</v>
      </c>
      <c r="D3" s="1" t="s">
        <v>211</v>
      </c>
      <c r="E3" s="1" t="s">
        <v>281</v>
      </c>
      <c r="F3" s="1" t="s">
        <v>295</v>
      </c>
    </row>
    <row r="4" spans="1:6">
      <c r="A4" s="1" t="s">
        <v>254</v>
      </c>
      <c r="B4" s="1">
        <v>4255</v>
      </c>
      <c r="C4" s="1" t="s">
        <v>269</v>
      </c>
      <c r="D4" s="1" t="s">
        <v>211</v>
      </c>
      <c r="E4" s="1" t="s">
        <v>280</v>
      </c>
      <c r="F4" s="1" t="s">
        <v>295</v>
      </c>
    </row>
    <row r="5" spans="1:6">
      <c r="A5" s="1" t="s">
        <v>255</v>
      </c>
      <c r="B5" s="1">
        <v>4254</v>
      </c>
      <c r="C5" s="1" t="s">
        <v>271</v>
      </c>
      <c r="D5" s="1" t="s">
        <v>211</v>
      </c>
      <c r="E5" s="1" t="s">
        <v>282</v>
      </c>
      <c r="F5" s="1" t="s">
        <v>295</v>
      </c>
    </row>
    <row r="6" spans="1:6">
      <c r="A6" s="1" t="s">
        <v>256</v>
      </c>
      <c r="B6" s="1">
        <v>9211</v>
      </c>
      <c r="C6" s="1" t="s">
        <v>237</v>
      </c>
      <c r="D6" s="1" t="s">
        <v>211</v>
      </c>
      <c r="E6" s="1" t="s">
        <v>283</v>
      </c>
      <c r="F6" s="1" t="s">
        <v>295</v>
      </c>
    </row>
    <row r="7" spans="1:6">
      <c r="A7" s="1" t="s">
        <v>257</v>
      </c>
      <c r="B7" s="1">
        <v>5474</v>
      </c>
      <c r="C7" s="1" t="s">
        <v>272</v>
      </c>
      <c r="D7" s="1" t="s">
        <v>211</v>
      </c>
      <c r="E7" s="1" t="s">
        <v>284</v>
      </c>
      <c r="F7" s="1" t="s">
        <v>295</v>
      </c>
    </row>
    <row r="8" spans="1:6">
      <c r="A8" s="1" t="s">
        <v>258</v>
      </c>
      <c r="B8" s="1">
        <v>7035</v>
      </c>
      <c r="C8" s="1" t="s">
        <v>273</v>
      </c>
      <c r="D8" s="1" t="s">
        <v>211</v>
      </c>
      <c r="E8" s="1" t="s">
        <v>285</v>
      </c>
      <c r="F8" s="1" t="s">
        <v>295</v>
      </c>
    </row>
    <row r="9" spans="1:6">
      <c r="A9" s="1" t="s">
        <v>259</v>
      </c>
      <c r="B9" s="1">
        <v>6329</v>
      </c>
      <c r="C9" s="1" t="s">
        <v>273</v>
      </c>
      <c r="D9" s="1" t="s">
        <v>279</v>
      </c>
      <c r="E9" s="1" t="s">
        <v>286</v>
      </c>
      <c r="F9" s="1" t="s">
        <v>295</v>
      </c>
    </row>
    <row r="10" spans="1:6">
      <c r="A10" s="1" t="s">
        <v>260</v>
      </c>
      <c r="B10" s="1">
        <v>4257</v>
      </c>
      <c r="C10" s="1" t="s">
        <v>269</v>
      </c>
      <c r="D10" s="1" t="s">
        <v>211</v>
      </c>
      <c r="E10" s="1" t="s">
        <v>287</v>
      </c>
      <c r="F10" s="1" t="s">
        <v>295</v>
      </c>
    </row>
    <row r="11" spans="1:6">
      <c r="A11" s="1" t="s">
        <v>261</v>
      </c>
      <c r="B11" s="1">
        <v>4689</v>
      </c>
      <c r="C11" s="1" t="s">
        <v>274</v>
      </c>
      <c r="D11" s="1" t="s">
        <v>211</v>
      </c>
      <c r="E11" s="1" t="s">
        <v>288</v>
      </c>
      <c r="F11" s="1" t="s">
        <v>295</v>
      </c>
    </row>
    <row r="12" spans="1:6">
      <c r="A12" s="1" t="s">
        <v>262</v>
      </c>
      <c r="B12" s="1">
        <v>3931</v>
      </c>
      <c r="C12" s="1" t="s">
        <v>275</v>
      </c>
      <c r="D12" s="1" t="s">
        <v>211</v>
      </c>
      <c r="E12" s="1" t="s">
        <v>289</v>
      </c>
      <c r="F12" s="1" t="s">
        <v>295</v>
      </c>
    </row>
    <row r="13" spans="1:6">
      <c r="A13" s="1" t="s">
        <v>263</v>
      </c>
      <c r="B13" s="1">
        <v>9256</v>
      </c>
      <c r="C13" s="1" t="s">
        <v>237</v>
      </c>
      <c r="D13" s="1" t="s">
        <v>211</v>
      </c>
      <c r="E13" s="1" t="s">
        <v>290</v>
      </c>
      <c r="F13" s="1" t="s">
        <v>295</v>
      </c>
    </row>
    <row r="14" spans="1:6">
      <c r="A14" s="1" t="s">
        <v>264</v>
      </c>
      <c r="B14" s="1">
        <v>5088</v>
      </c>
      <c r="C14" s="1" t="s">
        <v>276</v>
      </c>
      <c r="D14" s="1" t="s">
        <v>211</v>
      </c>
      <c r="E14" s="1" t="s">
        <v>291</v>
      </c>
      <c r="F14" s="1" t="s">
        <v>295</v>
      </c>
    </row>
    <row r="15" spans="1:6">
      <c r="A15" s="1" t="s">
        <v>265</v>
      </c>
      <c r="B15" s="1">
        <v>4257</v>
      </c>
      <c r="C15" s="1" t="s">
        <v>269</v>
      </c>
      <c r="D15" s="1" t="s">
        <v>211</v>
      </c>
      <c r="E15" s="1" t="s">
        <v>282</v>
      </c>
      <c r="F15" s="1" t="s">
        <v>295</v>
      </c>
    </row>
    <row r="16" spans="1:6">
      <c r="A16" s="1" t="s">
        <v>266</v>
      </c>
      <c r="B16" s="1">
        <v>3878</v>
      </c>
      <c r="C16" s="1" t="s">
        <v>277</v>
      </c>
      <c r="D16" s="1" t="s">
        <v>211</v>
      </c>
      <c r="E16" s="1" t="s">
        <v>292</v>
      </c>
      <c r="F16" s="1" t="s">
        <v>295</v>
      </c>
    </row>
    <row r="17" spans="1:6">
      <c r="A17" s="1" t="s">
        <v>267</v>
      </c>
      <c r="B17" s="1">
        <v>4685</v>
      </c>
      <c r="C17" s="1" t="s">
        <v>274</v>
      </c>
      <c r="D17" s="1" t="s">
        <v>211</v>
      </c>
      <c r="E17" s="1" t="s">
        <v>293</v>
      </c>
      <c r="F17" s="1" t="s">
        <v>295</v>
      </c>
    </row>
    <row r="18" spans="1:6">
      <c r="A18" s="1" t="s">
        <v>268</v>
      </c>
      <c r="B18" s="1">
        <v>4263</v>
      </c>
      <c r="C18" s="1" t="s">
        <v>278</v>
      </c>
      <c r="D18" s="1" t="s">
        <v>211</v>
      </c>
      <c r="E18" s="1" t="s">
        <v>294</v>
      </c>
      <c r="F18" s="1" t="s">
        <v>295</v>
      </c>
    </row>
  </sheetData>
  <autoFilter ref="A1:F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.7109375" style="1" customWidth="1"/>
    <col min="2" max="5" width="14.7109375" style="1" customWidth="1"/>
    <col min="6" max="6" width="60.7109375" style="1" customWidth="1"/>
  </cols>
  <sheetData>
    <row r="1" spans="1:6">
      <c r="A1" s="2" t="s">
        <v>246</v>
      </c>
      <c r="B1" s="2" t="s">
        <v>247</v>
      </c>
      <c r="C1" s="2" t="s">
        <v>248</v>
      </c>
      <c r="D1" s="2" t="s">
        <v>249</v>
      </c>
      <c r="E1" s="2" t="s">
        <v>250</v>
      </c>
      <c r="F1" s="2" t="s">
        <v>251</v>
      </c>
    </row>
    <row r="2" spans="1:6">
      <c r="A2" s="1" t="s">
        <v>296</v>
      </c>
      <c r="B2" s="1">
        <v>5950</v>
      </c>
      <c r="C2" s="1" t="s">
        <v>209</v>
      </c>
      <c r="D2" s="1" t="s">
        <v>413</v>
      </c>
      <c r="E2" s="1" t="s">
        <v>434</v>
      </c>
      <c r="F2" s="1" t="s">
        <v>444</v>
      </c>
    </row>
    <row r="3" spans="1:6">
      <c r="A3" s="1" t="s">
        <v>297</v>
      </c>
      <c r="B3" s="1">
        <v>25806</v>
      </c>
      <c r="C3" s="1" t="s">
        <v>390</v>
      </c>
      <c r="D3" s="1" t="s">
        <v>414</v>
      </c>
      <c r="E3" s="1" t="s">
        <v>435</v>
      </c>
      <c r="F3" s="1" t="s">
        <v>444</v>
      </c>
    </row>
    <row r="4" spans="1:6">
      <c r="A4" s="1" t="s">
        <v>298</v>
      </c>
      <c r="B4" s="1">
        <v>25996</v>
      </c>
      <c r="C4" s="1" t="s">
        <v>391</v>
      </c>
      <c r="D4" s="1" t="s">
        <v>415</v>
      </c>
      <c r="E4" s="1" t="s">
        <v>435</v>
      </c>
      <c r="F4" s="1" t="s">
        <v>444</v>
      </c>
    </row>
    <row r="5" spans="1:6">
      <c r="A5" s="1" t="s">
        <v>299</v>
      </c>
      <c r="B5" s="1">
        <v>26100</v>
      </c>
      <c r="C5" s="1" t="s">
        <v>392</v>
      </c>
      <c r="D5" s="1" t="s">
        <v>416</v>
      </c>
      <c r="E5" s="1" t="s">
        <v>435</v>
      </c>
      <c r="F5" s="1" t="s">
        <v>444</v>
      </c>
    </row>
    <row r="6" spans="1:6">
      <c r="A6" s="1" t="s">
        <v>300</v>
      </c>
      <c r="B6" s="1">
        <v>25896</v>
      </c>
      <c r="C6" s="1" t="s">
        <v>393</v>
      </c>
      <c r="D6" s="1" t="s">
        <v>417</v>
      </c>
      <c r="E6" s="1" t="s">
        <v>435</v>
      </c>
      <c r="F6" s="1" t="s">
        <v>444</v>
      </c>
    </row>
    <row r="7" spans="1:6">
      <c r="A7" s="1" t="s">
        <v>301</v>
      </c>
      <c r="B7" s="1">
        <v>25799</v>
      </c>
      <c r="C7" s="1" t="s">
        <v>394</v>
      </c>
      <c r="D7" s="1" t="s">
        <v>418</v>
      </c>
      <c r="E7" s="1" t="s">
        <v>435</v>
      </c>
      <c r="F7" s="1" t="s">
        <v>444</v>
      </c>
    </row>
    <row r="8" spans="1:6">
      <c r="A8" s="1" t="s">
        <v>302</v>
      </c>
      <c r="B8" s="1">
        <v>26273</v>
      </c>
      <c r="C8" s="1" t="s">
        <v>395</v>
      </c>
      <c r="D8" s="1" t="s">
        <v>419</v>
      </c>
      <c r="E8" s="1" t="s">
        <v>435</v>
      </c>
      <c r="F8" s="1" t="s">
        <v>444</v>
      </c>
    </row>
    <row r="9" spans="1:6">
      <c r="A9" s="1" t="s">
        <v>303</v>
      </c>
      <c r="B9" s="1">
        <v>26379</v>
      </c>
      <c r="C9" s="1" t="s">
        <v>396</v>
      </c>
      <c r="D9" s="1" t="s">
        <v>420</v>
      </c>
      <c r="E9" s="1" t="s">
        <v>435</v>
      </c>
      <c r="F9" s="1" t="s">
        <v>444</v>
      </c>
    </row>
    <row r="10" spans="1:6">
      <c r="A10" s="1" t="s">
        <v>304</v>
      </c>
      <c r="B10" s="1">
        <v>26316</v>
      </c>
      <c r="C10" s="1" t="s">
        <v>397</v>
      </c>
      <c r="D10" s="1" t="s">
        <v>421</v>
      </c>
      <c r="E10" s="1" t="s">
        <v>435</v>
      </c>
      <c r="F10" s="1" t="s">
        <v>444</v>
      </c>
    </row>
    <row r="11" spans="1:6">
      <c r="A11" s="1" t="s">
        <v>305</v>
      </c>
      <c r="B11" s="1">
        <v>26316</v>
      </c>
      <c r="C11" s="1" t="s">
        <v>398</v>
      </c>
      <c r="D11" s="1" t="s">
        <v>422</v>
      </c>
      <c r="E11" s="1" t="s">
        <v>435</v>
      </c>
      <c r="F11" s="1" t="s">
        <v>444</v>
      </c>
    </row>
    <row r="12" spans="1:6">
      <c r="A12" s="1" t="s">
        <v>306</v>
      </c>
      <c r="B12" s="1">
        <v>26110</v>
      </c>
      <c r="C12" s="1" t="s">
        <v>399</v>
      </c>
      <c r="D12" s="1" t="s">
        <v>423</v>
      </c>
      <c r="E12" s="1" t="s">
        <v>435</v>
      </c>
      <c r="F12" s="1" t="s">
        <v>444</v>
      </c>
    </row>
    <row r="13" spans="1:6">
      <c r="A13" s="1" t="s">
        <v>307</v>
      </c>
      <c r="B13" s="1">
        <v>26399</v>
      </c>
      <c r="C13" s="1" t="s">
        <v>400</v>
      </c>
      <c r="D13" s="1" t="s">
        <v>424</v>
      </c>
      <c r="E13" s="1" t="s">
        <v>435</v>
      </c>
      <c r="F13" s="1" t="s">
        <v>444</v>
      </c>
    </row>
    <row r="14" spans="1:6">
      <c r="A14" s="1" t="s">
        <v>308</v>
      </c>
      <c r="B14" s="1">
        <v>26281</v>
      </c>
      <c r="C14" s="1" t="s">
        <v>401</v>
      </c>
      <c r="D14" s="1" t="s">
        <v>425</v>
      </c>
      <c r="E14" s="1" t="s">
        <v>435</v>
      </c>
      <c r="F14" s="1" t="s">
        <v>444</v>
      </c>
    </row>
    <row r="15" spans="1:6">
      <c r="A15" s="1" t="s">
        <v>309</v>
      </c>
      <c r="B15" s="1">
        <v>16816</v>
      </c>
      <c r="C15" s="1" t="s">
        <v>402</v>
      </c>
      <c r="D15" s="1" t="s">
        <v>211</v>
      </c>
      <c r="E15" s="1" t="s">
        <v>436</v>
      </c>
      <c r="F15" s="1" t="s">
        <v>444</v>
      </c>
    </row>
    <row r="16" spans="1:6">
      <c r="A16" s="1" t="s">
        <v>310</v>
      </c>
      <c r="B16" s="1">
        <v>307</v>
      </c>
      <c r="C16" s="1" t="s">
        <v>208</v>
      </c>
      <c r="D16" s="1" t="s">
        <v>426</v>
      </c>
      <c r="E16" s="1" t="s">
        <v>437</v>
      </c>
      <c r="F16" s="1" t="s">
        <v>444</v>
      </c>
    </row>
    <row r="17" spans="1:6">
      <c r="A17" s="1" t="s">
        <v>311</v>
      </c>
      <c r="B17" s="1">
        <v>14635</v>
      </c>
      <c r="C17" s="1" t="s">
        <v>403</v>
      </c>
      <c r="D17" s="1" t="s">
        <v>427</v>
      </c>
      <c r="E17" s="1" t="s">
        <v>436</v>
      </c>
      <c r="F17" s="1" t="s">
        <v>444</v>
      </c>
    </row>
    <row r="18" spans="1:6">
      <c r="A18" s="1" t="s">
        <v>312</v>
      </c>
      <c r="B18" s="1">
        <v>15176</v>
      </c>
      <c r="C18" s="1" t="s">
        <v>404</v>
      </c>
      <c r="D18" s="1" t="s">
        <v>428</v>
      </c>
      <c r="E18" s="1" t="s">
        <v>436</v>
      </c>
      <c r="F18" s="1" t="s">
        <v>444</v>
      </c>
    </row>
    <row r="19" spans="1:6">
      <c r="A19" s="1" t="s">
        <v>313</v>
      </c>
      <c r="B19" s="1">
        <v>16002</v>
      </c>
      <c r="C19" s="1" t="s">
        <v>390</v>
      </c>
      <c r="D19" s="1" t="s">
        <v>429</v>
      </c>
      <c r="E19" s="1" t="s">
        <v>436</v>
      </c>
      <c r="F19" s="1" t="s">
        <v>444</v>
      </c>
    </row>
    <row r="20" spans="1:6">
      <c r="A20" s="1" t="s">
        <v>314</v>
      </c>
      <c r="B20" s="1">
        <v>16388</v>
      </c>
      <c r="C20" s="1" t="s">
        <v>391</v>
      </c>
      <c r="D20" s="1" t="s">
        <v>430</v>
      </c>
      <c r="E20" s="1" t="s">
        <v>436</v>
      </c>
      <c r="F20" s="1" t="s">
        <v>444</v>
      </c>
    </row>
    <row r="21" spans="1:6">
      <c r="A21" s="1" t="s">
        <v>315</v>
      </c>
      <c r="B21" s="1">
        <v>16111</v>
      </c>
      <c r="C21" s="1" t="s">
        <v>392</v>
      </c>
      <c r="D21" s="1" t="s">
        <v>416</v>
      </c>
      <c r="E21" s="1" t="s">
        <v>436</v>
      </c>
      <c r="F21" s="1" t="s">
        <v>444</v>
      </c>
    </row>
    <row r="22" spans="1:6">
      <c r="A22" s="1" t="s">
        <v>316</v>
      </c>
      <c r="B22" s="1">
        <v>15984</v>
      </c>
      <c r="C22" s="1" t="s">
        <v>405</v>
      </c>
      <c r="D22" s="1" t="s">
        <v>417</v>
      </c>
      <c r="E22" s="1" t="s">
        <v>436</v>
      </c>
      <c r="F22" s="1" t="s">
        <v>444</v>
      </c>
    </row>
    <row r="23" spans="1:6">
      <c r="A23" s="1" t="s">
        <v>317</v>
      </c>
      <c r="B23" s="1">
        <v>16118</v>
      </c>
      <c r="C23" s="1" t="s">
        <v>394</v>
      </c>
      <c r="D23" s="1" t="s">
        <v>431</v>
      </c>
      <c r="E23" s="1" t="s">
        <v>436</v>
      </c>
      <c r="F23" s="1" t="s">
        <v>444</v>
      </c>
    </row>
    <row r="24" spans="1:6">
      <c r="A24" s="1" t="s">
        <v>318</v>
      </c>
      <c r="B24" s="1">
        <v>16145</v>
      </c>
      <c r="C24" s="1" t="s">
        <v>395</v>
      </c>
      <c r="D24" s="1" t="s">
        <v>419</v>
      </c>
      <c r="E24" s="1" t="s">
        <v>436</v>
      </c>
      <c r="F24" s="1" t="s">
        <v>444</v>
      </c>
    </row>
    <row r="25" spans="1:6">
      <c r="A25" s="1" t="s">
        <v>319</v>
      </c>
      <c r="B25" s="1">
        <v>16201</v>
      </c>
      <c r="C25" s="1" t="s">
        <v>396</v>
      </c>
      <c r="D25" s="1" t="s">
        <v>420</v>
      </c>
      <c r="E25" s="1" t="s">
        <v>436</v>
      </c>
      <c r="F25" s="1" t="s">
        <v>444</v>
      </c>
    </row>
    <row r="26" spans="1:6">
      <c r="A26" s="1" t="s">
        <v>320</v>
      </c>
      <c r="B26" s="1">
        <v>16155</v>
      </c>
      <c r="C26" s="1" t="s">
        <v>397</v>
      </c>
      <c r="D26" s="1" t="s">
        <v>421</v>
      </c>
      <c r="E26" s="1" t="s">
        <v>436</v>
      </c>
      <c r="F26" s="1" t="s">
        <v>444</v>
      </c>
    </row>
    <row r="27" spans="1:6">
      <c r="A27" s="1" t="s">
        <v>321</v>
      </c>
      <c r="B27" s="1">
        <v>16074</v>
      </c>
      <c r="C27" s="1" t="s">
        <v>406</v>
      </c>
      <c r="D27" s="1" t="s">
        <v>422</v>
      </c>
      <c r="E27" s="1" t="s">
        <v>436</v>
      </c>
      <c r="F27" s="1" t="s">
        <v>444</v>
      </c>
    </row>
    <row r="28" spans="1:6">
      <c r="A28" s="1" t="s">
        <v>322</v>
      </c>
      <c r="B28" s="1">
        <v>15996</v>
      </c>
      <c r="C28" s="1" t="s">
        <v>407</v>
      </c>
      <c r="D28" s="1" t="s">
        <v>423</v>
      </c>
      <c r="E28" s="1" t="s">
        <v>436</v>
      </c>
      <c r="F28" s="1" t="s">
        <v>444</v>
      </c>
    </row>
    <row r="29" spans="1:6">
      <c r="A29" s="1" t="s">
        <v>323</v>
      </c>
      <c r="B29" s="1">
        <v>16114</v>
      </c>
      <c r="C29" s="1" t="s">
        <v>400</v>
      </c>
      <c r="D29" s="1" t="s">
        <v>424</v>
      </c>
      <c r="E29" s="1" t="s">
        <v>436</v>
      </c>
      <c r="F29" s="1" t="s">
        <v>444</v>
      </c>
    </row>
    <row r="30" spans="1:6">
      <c r="A30" s="1" t="s">
        <v>324</v>
      </c>
      <c r="B30" s="1">
        <v>16057</v>
      </c>
      <c r="C30" s="1" t="s">
        <v>401</v>
      </c>
      <c r="D30" s="1" t="s">
        <v>425</v>
      </c>
      <c r="E30" s="1" t="s">
        <v>436</v>
      </c>
      <c r="F30" s="1" t="s">
        <v>444</v>
      </c>
    </row>
    <row r="31" spans="1:6">
      <c r="A31" s="1" t="s">
        <v>325</v>
      </c>
      <c r="B31" s="1">
        <v>10247</v>
      </c>
      <c r="C31" s="1" t="s">
        <v>402</v>
      </c>
      <c r="D31" s="1" t="s">
        <v>211</v>
      </c>
      <c r="E31" s="1" t="s">
        <v>438</v>
      </c>
      <c r="F31" s="1" t="s">
        <v>444</v>
      </c>
    </row>
    <row r="32" spans="1:6">
      <c r="A32" s="1" t="s">
        <v>326</v>
      </c>
      <c r="B32" s="1">
        <v>303</v>
      </c>
      <c r="C32" s="1" t="s">
        <v>208</v>
      </c>
      <c r="D32" s="1" t="s">
        <v>432</v>
      </c>
      <c r="E32" s="1" t="s">
        <v>439</v>
      </c>
      <c r="F32" s="1" t="s">
        <v>444</v>
      </c>
    </row>
    <row r="33" spans="1:6">
      <c r="A33" s="1" t="s">
        <v>327</v>
      </c>
      <c r="B33" s="1">
        <v>18381</v>
      </c>
      <c r="C33" s="1" t="s">
        <v>408</v>
      </c>
      <c r="D33" s="1" t="s">
        <v>427</v>
      </c>
      <c r="E33" s="1" t="s">
        <v>436</v>
      </c>
      <c r="F33" s="1" t="s">
        <v>444</v>
      </c>
    </row>
    <row r="34" spans="1:6">
      <c r="A34" s="1" t="s">
        <v>328</v>
      </c>
      <c r="B34" s="1">
        <v>17580</v>
      </c>
      <c r="C34" s="1" t="s">
        <v>404</v>
      </c>
      <c r="D34" s="1" t="s">
        <v>428</v>
      </c>
      <c r="E34" s="1" t="s">
        <v>436</v>
      </c>
      <c r="F34" s="1" t="s">
        <v>444</v>
      </c>
    </row>
    <row r="35" spans="1:6">
      <c r="A35" s="1" t="s">
        <v>329</v>
      </c>
      <c r="B35" s="1">
        <v>19150</v>
      </c>
      <c r="C35" s="1" t="s">
        <v>390</v>
      </c>
      <c r="D35" s="1" t="s">
        <v>429</v>
      </c>
      <c r="E35" s="1" t="s">
        <v>436</v>
      </c>
      <c r="F35" s="1" t="s">
        <v>444</v>
      </c>
    </row>
    <row r="36" spans="1:6">
      <c r="A36" s="1" t="s">
        <v>330</v>
      </c>
      <c r="B36" s="1">
        <v>19777</v>
      </c>
      <c r="C36" s="1" t="s">
        <v>391</v>
      </c>
      <c r="D36" s="1" t="s">
        <v>430</v>
      </c>
      <c r="E36" s="1" t="s">
        <v>436</v>
      </c>
      <c r="F36" s="1" t="s">
        <v>444</v>
      </c>
    </row>
    <row r="37" spans="1:6">
      <c r="A37" s="1" t="s">
        <v>331</v>
      </c>
      <c r="B37" s="1">
        <v>19861</v>
      </c>
      <c r="C37" s="1" t="s">
        <v>392</v>
      </c>
      <c r="D37" s="1" t="s">
        <v>416</v>
      </c>
      <c r="E37" s="1" t="s">
        <v>436</v>
      </c>
      <c r="F37" s="1" t="s">
        <v>444</v>
      </c>
    </row>
    <row r="38" spans="1:6">
      <c r="A38" s="1" t="s">
        <v>332</v>
      </c>
      <c r="B38" s="1">
        <v>19417</v>
      </c>
      <c r="C38" s="1" t="s">
        <v>409</v>
      </c>
      <c r="D38" s="1" t="s">
        <v>417</v>
      </c>
      <c r="E38" s="1" t="s">
        <v>436</v>
      </c>
      <c r="F38" s="1" t="s">
        <v>444</v>
      </c>
    </row>
    <row r="39" spans="1:6">
      <c r="A39" s="1" t="s">
        <v>333</v>
      </c>
      <c r="B39" s="1">
        <v>19646</v>
      </c>
      <c r="C39" s="1" t="s">
        <v>394</v>
      </c>
      <c r="D39" s="1" t="s">
        <v>431</v>
      </c>
      <c r="E39" s="1" t="s">
        <v>436</v>
      </c>
      <c r="F39" s="1" t="s">
        <v>444</v>
      </c>
    </row>
    <row r="40" spans="1:6">
      <c r="A40" s="1" t="s">
        <v>334</v>
      </c>
      <c r="B40" s="1">
        <v>19814</v>
      </c>
      <c r="C40" s="1" t="s">
        <v>395</v>
      </c>
      <c r="D40" s="1" t="s">
        <v>419</v>
      </c>
      <c r="E40" s="1" t="s">
        <v>436</v>
      </c>
      <c r="F40" s="1" t="s">
        <v>444</v>
      </c>
    </row>
    <row r="41" spans="1:6">
      <c r="A41" s="1" t="s">
        <v>335</v>
      </c>
      <c r="B41" s="1">
        <v>19911</v>
      </c>
      <c r="C41" s="1" t="s">
        <v>396</v>
      </c>
      <c r="D41" s="1" t="s">
        <v>420</v>
      </c>
      <c r="E41" s="1" t="s">
        <v>436</v>
      </c>
      <c r="F41" s="1" t="s">
        <v>444</v>
      </c>
    </row>
    <row r="42" spans="1:6">
      <c r="A42" s="1" t="s">
        <v>336</v>
      </c>
      <c r="B42" s="1">
        <v>19875</v>
      </c>
      <c r="C42" s="1" t="s">
        <v>397</v>
      </c>
      <c r="D42" s="1" t="s">
        <v>421</v>
      </c>
      <c r="E42" s="1" t="s">
        <v>436</v>
      </c>
      <c r="F42" s="1" t="s">
        <v>444</v>
      </c>
    </row>
    <row r="43" spans="1:6">
      <c r="A43" s="1" t="s">
        <v>337</v>
      </c>
      <c r="B43" s="1">
        <v>19838</v>
      </c>
      <c r="C43" s="1" t="s">
        <v>398</v>
      </c>
      <c r="D43" s="1" t="s">
        <v>422</v>
      </c>
      <c r="E43" s="1" t="s">
        <v>436</v>
      </c>
      <c r="F43" s="1" t="s">
        <v>444</v>
      </c>
    </row>
    <row r="44" spans="1:6">
      <c r="A44" s="1" t="s">
        <v>338</v>
      </c>
      <c r="B44" s="1">
        <v>19661</v>
      </c>
      <c r="C44" s="1" t="s">
        <v>407</v>
      </c>
      <c r="D44" s="1" t="s">
        <v>423</v>
      </c>
      <c r="E44" s="1" t="s">
        <v>436</v>
      </c>
      <c r="F44" s="1" t="s">
        <v>444</v>
      </c>
    </row>
    <row r="45" spans="1:6">
      <c r="A45" s="1" t="s">
        <v>339</v>
      </c>
      <c r="B45" s="1">
        <v>19845</v>
      </c>
      <c r="C45" s="1" t="s">
        <v>400</v>
      </c>
      <c r="D45" s="1" t="s">
        <v>424</v>
      </c>
      <c r="E45" s="1" t="s">
        <v>436</v>
      </c>
      <c r="F45" s="1" t="s">
        <v>444</v>
      </c>
    </row>
    <row r="46" spans="1:6">
      <c r="A46" s="1" t="s">
        <v>340</v>
      </c>
      <c r="B46" s="1">
        <v>19690</v>
      </c>
      <c r="C46" s="1" t="s">
        <v>401</v>
      </c>
      <c r="D46" s="1" t="s">
        <v>425</v>
      </c>
      <c r="E46" s="1" t="s">
        <v>436</v>
      </c>
      <c r="F46" s="1" t="s">
        <v>444</v>
      </c>
    </row>
    <row r="47" spans="1:6">
      <c r="A47" s="1" t="s">
        <v>341</v>
      </c>
      <c r="B47" s="1">
        <v>12689</v>
      </c>
      <c r="C47" s="1" t="s">
        <v>402</v>
      </c>
      <c r="D47" s="1" t="s">
        <v>211</v>
      </c>
      <c r="E47" s="1" t="s">
        <v>438</v>
      </c>
      <c r="F47" s="1" t="s">
        <v>444</v>
      </c>
    </row>
    <row r="48" spans="1:6">
      <c r="A48" s="1" t="s">
        <v>342</v>
      </c>
      <c r="B48" s="1">
        <v>153</v>
      </c>
      <c r="C48" s="1" t="s">
        <v>210</v>
      </c>
      <c r="D48" s="1" t="s">
        <v>432</v>
      </c>
      <c r="E48" s="1" t="s">
        <v>440</v>
      </c>
      <c r="F48" s="1" t="s">
        <v>444</v>
      </c>
    </row>
    <row r="49" spans="1:6">
      <c r="A49" s="1" t="s">
        <v>343</v>
      </c>
      <c r="B49" s="1">
        <v>13407</v>
      </c>
      <c r="C49" s="1" t="s">
        <v>403</v>
      </c>
      <c r="D49" s="1" t="s">
        <v>433</v>
      </c>
      <c r="E49" s="1" t="s">
        <v>438</v>
      </c>
      <c r="F49" s="1" t="s">
        <v>444</v>
      </c>
    </row>
    <row r="50" spans="1:6">
      <c r="A50" s="1" t="s">
        <v>344</v>
      </c>
      <c r="B50" s="1">
        <v>13257</v>
      </c>
      <c r="C50" s="1" t="s">
        <v>410</v>
      </c>
      <c r="D50" s="1" t="s">
        <v>428</v>
      </c>
      <c r="E50" s="1" t="s">
        <v>436</v>
      </c>
      <c r="F50" s="1" t="s">
        <v>444</v>
      </c>
    </row>
    <row r="51" spans="1:6">
      <c r="A51" s="1" t="s">
        <v>345</v>
      </c>
      <c r="B51" s="1">
        <v>15354</v>
      </c>
      <c r="C51" s="1" t="s">
        <v>390</v>
      </c>
      <c r="D51" s="1" t="s">
        <v>429</v>
      </c>
      <c r="E51" s="1" t="s">
        <v>436</v>
      </c>
      <c r="F51" s="1" t="s">
        <v>444</v>
      </c>
    </row>
    <row r="52" spans="1:6">
      <c r="A52" s="1" t="s">
        <v>346</v>
      </c>
      <c r="B52" s="1">
        <v>4650</v>
      </c>
      <c r="C52" s="1" t="s">
        <v>391</v>
      </c>
      <c r="D52" s="1" t="s">
        <v>430</v>
      </c>
      <c r="E52" s="1" t="s">
        <v>441</v>
      </c>
      <c r="F52" s="1" t="s">
        <v>444</v>
      </c>
    </row>
    <row r="53" spans="1:6">
      <c r="A53" s="1" t="s">
        <v>347</v>
      </c>
      <c r="B53" s="1">
        <v>12374</v>
      </c>
      <c r="C53" s="1" t="s">
        <v>392</v>
      </c>
      <c r="D53" s="1" t="s">
        <v>416</v>
      </c>
      <c r="E53" s="1" t="s">
        <v>438</v>
      </c>
      <c r="F53" s="1" t="s">
        <v>444</v>
      </c>
    </row>
    <row r="54" spans="1:6">
      <c r="A54" s="1" t="s">
        <v>348</v>
      </c>
      <c r="B54" s="1">
        <v>12036</v>
      </c>
      <c r="C54" s="1" t="s">
        <v>409</v>
      </c>
      <c r="D54" s="1" t="s">
        <v>417</v>
      </c>
      <c r="E54" s="1" t="s">
        <v>438</v>
      </c>
      <c r="F54" s="1" t="s">
        <v>444</v>
      </c>
    </row>
    <row r="55" spans="1:6">
      <c r="A55" s="1" t="s">
        <v>349</v>
      </c>
      <c r="B55" s="1">
        <v>14528</v>
      </c>
      <c r="C55" s="1" t="s">
        <v>394</v>
      </c>
      <c r="D55" s="1" t="s">
        <v>431</v>
      </c>
      <c r="E55" s="1" t="s">
        <v>436</v>
      </c>
      <c r="F55" s="1" t="s">
        <v>444</v>
      </c>
    </row>
    <row r="56" spans="1:6">
      <c r="A56" s="1" t="s">
        <v>350</v>
      </c>
      <c r="B56" s="1">
        <v>15299</v>
      </c>
      <c r="C56" s="1" t="s">
        <v>395</v>
      </c>
      <c r="D56" s="1" t="s">
        <v>419</v>
      </c>
      <c r="E56" s="1" t="s">
        <v>436</v>
      </c>
      <c r="F56" s="1" t="s">
        <v>444</v>
      </c>
    </row>
    <row r="57" spans="1:6">
      <c r="A57" s="1" t="s">
        <v>351</v>
      </c>
      <c r="B57" s="1">
        <v>15504</v>
      </c>
      <c r="C57" s="1" t="s">
        <v>396</v>
      </c>
      <c r="D57" s="1" t="s">
        <v>420</v>
      </c>
      <c r="E57" s="1" t="s">
        <v>436</v>
      </c>
      <c r="F57" s="1" t="s">
        <v>444</v>
      </c>
    </row>
    <row r="58" spans="1:6">
      <c r="A58" s="1" t="s">
        <v>352</v>
      </c>
      <c r="B58" s="1">
        <v>15525</v>
      </c>
      <c r="C58" s="1" t="s">
        <v>397</v>
      </c>
      <c r="D58" s="1" t="s">
        <v>421</v>
      </c>
      <c r="E58" s="1" t="s">
        <v>436</v>
      </c>
      <c r="F58" s="1" t="s">
        <v>444</v>
      </c>
    </row>
    <row r="59" spans="1:6">
      <c r="A59" s="1" t="s">
        <v>353</v>
      </c>
      <c r="B59" s="1">
        <v>15423</v>
      </c>
      <c r="C59" s="1" t="s">
        <v>398</v>
      </c>
      <c r="D59" s="1" t="s">
        <v>422</v>
      </c>
      <c r="E59" s="1" t="s">
        <v>436</v>
      </c>
      <c r="F59" s="1" t="s">
        <v>444</v>
      </c>
    </row>
    <row r="60" spans="1:6">
      <c r="A60" s="1" t="s">
        <v>354</v>
      </c>
      <c r="B60" s="1">
        <v>15393</v>
      </c>
      <c r="C60" s="1" t="s">
        <v>407</v>
      </c>
      <c r="D60" s="1" t="s">
        <v>423</v>
      </c>
      <c r="E60" s="1" t="s">
        <v>436</v>
      </c>
      <c r="F60" s="1" t="s">
        <v>444</v>
      </c>
    </row>
    <row r="61" spans="1:6">
      <c r="A61" s="1" t="s">
        <v>355</v>
      </c>
      <c r="B61" s="1">
        <v>15465</v>
      </c>
      <c r="C61" s="1" t="s">
        <v>400</v>
      </c>
      <c r="D61" s="1" t="s">
        <v>424</v>
      </c>
      <c r="E61" s="1" t="s">
        <v>436</v>
      </c>
      <c r="F61" s="1" t="s">
        <v>444</v>
      </c>
    </row>
    <row r="62" spans="1:6">
      <c r="A62" s="1" t="s">
        <v>356</v>
      </c>
      <c r="B62" s="1">
        <v>15443</v>
      </c>
      <c r="C62" s="1" t="s">
        <v>401</v>
      </c>
      <c r="D62" s="1" t="s">
        <v>425</v>
      </c>
      <c r="E62" s="1" t="s">
        <v>436</v>
      </c>
      <c r="F62" s="1" t="s">
        <v>444</v>
      </c>
    </row>
    <row r="63" spans="1:6">
      <c r="A63" s="1" t="s">
        <v>357</v>
      </c>
      <c r="B63" s="1">
        <v>9895</v>
      </c>
      <c r="C63" s="1" t="s">
        <v>402</v>
      </c>
      <c r="D63" s="1" t="s">
        <v>211</v>
      </c>
      <c r="E63" s="1" t="s">
        <v>438</v>
      </c>
      <c r="F63" s="1" t="s">
        <v>444</v>
      </c>
    </row>
    <row r="64" spans="1:6">
      <c r="A64" s="1" t="s">
        <v>358</v>
      </c>
      <c r="B64" s="1">
        <v>285</v>
      </c>
      <c r="C64" s="1" t="s">
        <v>208</v>
      </c>
      <c r="D64" s="1" t="s">
        <v>432</v>
      </c>
      <c r="E64" s="1" t="s">
        <v>442</v>
      </c>
      <c r="F64" s="1" t="s">
        <v>444</v>
      </c>
    </row>
    <row r="65" spans="1:6">
      <c r="A65" s="1" t="s">
        <v>359</v>
      </c>
      <c r="B65" s="1">
        <v>17690</v>
      </c>
      <c r="C65" s="1" t="s">
        <v>411</v>
      </c>
      <c r="D65" s="1" t="s">
        <v>427</v>
      </c>
      <c r="E65" s="1" t="s">
        <v>436</v>
      </c>
      <c r="F65" s="1" t="s">
        <v>444</v>
      </c>
    </row>
    <row r="66" spans="1:6">
      <c r="A66" s="1" t="s">
        <v>360</v>
      </c>
      <c r="B66" s="1">
        <v>17981</v>
      </c>
      <c r="C66" s="1" t="s">
        <v>404</v>
      </c>
      <c r="D66" s="1" t="s">
        <v>428</v>
      </c>
      <c r="E66" s="1" t="s">
        <v>436</v>
      </c>
      <c r="F66" s="1" t="s">
        <v>444</v>
      </c>
    </row>
    <row r="67" spans="1:6">
      <c r="A67" s="1" t="s">
        <v>361</v>
      </c>
      <c r="B67" s="1">
        <v>19379</v>
      </c>
      <c r="C67" s="1" t="s">
        <v>390</v>
      </c>
      <c r="D67" s="1" t="s">
        <v>429</v>
      </c>
      <c r="E67" s="1" t="s">
        <v>436</v>
      </c>
      <c r="F67" s="1" t="s">
        <v>444</v>
      </c>
    </row>
    <row r="68" spans="1:6">
      <c r="A68" s="1" t="s">
        <v>362</v>
      </c>
      <c r="B68" s="1">
        <v>19773</v>
      </c>
      <c r="C68" s="1" t="s">
        <v>391</v>
      </c>
      <c r="D68" s="1" t="s">
        <v>430</v>
      </c>
      <c r="E68" s="1" t="s">
        <v>436</v>
      </c>
      <c r="F68" s="1" t="s">
        <v>444</v>
      </c>
    </row>
    <row r="69" spans="1:6">
      <c r="A69" s="1" t="s">
        <v>363</v>
      </c>
      <c r="B69" s="1">
        <v>19862</v>
      </c>
      <c r="C69" s="1" t="s">
        <v>392</v>
      </c>
      <c r="D69" s="1" t="s">
        <v>416</v>
      </c>
      <c r="E69" s="1" t="s">
        <v>436</v>
      </c>
      <c r="F69" s="1" t="s">
        <v>444</v>
      </c>
    </row>
    <row r="70" spans="1:6">
      <c r="A70" s="1" t="s">
        <v>364</v>
      </c>
      <c r="B70" s="1">
        <v>19706</v>
      </c>
      <c r="C70" s="1" t="s">
        <v>409</v>
      </c>
      <c r="D70" s="1" t="s">
        <v>417</v>
      </c>
      <c r="E70" s="1" t="s">
        <v>436</v>
      </c>
      <c r="F70" s="1" t="s">
        <v>444</v>
      </c>
    </row>
    <row r="71" spans="1:6">
      <c r="A71" s="1" t="s">
        <v>365</v>
      </c>
      <c r="B71" s="1">
        <v>19725</v>
      </c>
      <c r="C71" s="1" t="s">
        <v>394</v>
      </c>
      <c r="D71" s="1" t="s">
        <v>431</v>
      </c>
      <c r="E71" s="1" t="s">
        <v>436</v>
      </c>
      <c r="F71" s="1" t="s">
        <v>444</v>
      </c>
    </row>
    <row r="72" spans="1:6">
      <c r="A72" s="1" t="s">
        <v>366</v>
      </c>
      <c r="B72" s="1">
        <v>19807</v>
      </c>
      <c r="C72" s="1" t="s">
        <v>395</v>
      </c>
      <c r="D72" s="1" t="s">
        <v>419</v>
      </c>
      <c r="E72" s="1" t="s">
        <v>436</v>
      </c>
      <c r="F72" s="1" t="s">
        <v>444</v>
      </c>
    </row>
    <row r="73" spans="1:6">
      <c r="A73" s="1" t="s">
        <v>367</v>
      </c>
      <c r="B73" s="1">
        <v>19910</v>
      </c>
      <c r="C73" s="1" t="s">
        <v>396</v>
      </c>
      <c r="D73" s="1" t="s">
        <v>420</v>
      </c>
      <c r="E73" s="1" t="s">
        <v>436</v>
      </c>
      <c r="F73" s="1" t="s">
        <v>444</v>
      </c>
    </row>
    <row r="74" spans="1:6">
      <c r="A74" s="1" t="s">
        <v>368</v>
      </c>
      <c r="B74" s="1">
        <v>19875</v>
      </c>
      <c r="C74" s="1" t="s">
        <v>397</v>
      </c>
      <c r="D74" s="1" t="s">
        <v>421</v>
      </c>
      <c r="E74" s="1" t="s">
        <v>436</v>
      </c>
      <c r="F74" s="1" t="s">
        <v>444</v>
      </c>
    </row>
    <row r="75" spans="1:6">
      <c r="A75" s="1" t="s">
        <v>369</v>
      </c>
      <c r="B75" s="1">
        <v>19838</v>
      </c>
      <c r="C75" s="1" t="s">
        <v>398</v>
      </c>
      <c r="D75" s="1" t="s">
        <v>422</v>
      </c>
      <c r="E75" s="1" t="s">
        <v>436</v>
      </c>
      <c r="F75" s="1" t="s">
        <v>444</v>
      </c>
    </row>
    <row r="76" spans="1:6">
      <c r="A76" s="1" t="s">
        <v>370</v>
      </c>
      <c r="B76" s="1">
        <v>19655</v>
      </c>
      <c r="C76" s="1" t="s">
        <v>407</v>
      </c>
      <c r="D76" s="1" t="s">
        <v>423</v>
      </c>
      <c r="E76" s="1" t="s">
        <v>436</v>
      </c>
      <c r="F76" s="1" t="s">
        <v>444</v>
      </c>
    </row>
    <row r="77" spans="1:6">
      <c r="A77" s="1" t="s">
        <v>371</v>
      </c>
      <c r="B77" s="1">
        <v>19842</v>
      </c>
      <c r="C77" s="1" t="s">
        <v>400</v>
      </c>
      <c r="D77" s="1" t="s">
        <v>424</v>
      </c>
      <c r="E77" s="1" t="s">
        <v>436</v>
      </c>
      <c r="F77" s="1" t="s">
        <v>444</v>
      </c>
    </row>
    <row r="78" spans="1:6">
      <c r="A78" s="1" t="s">
        <v>372</v>
      </c>
      <c r="B78" s="1">
        <v>19690</v>
      </c>
      <c r="C78" s="1" t="s">
        <v>401</v>
      </c>
      <c r="D78" s="1" t="s">
        <v>425</v>
      </c>
      <c r="E78" s="1" t="s">
        <v>436</v>
      </c>
      <c r="F78" s="1" t="s">
        <v>444</v>
      </c>
    </row>
    <row r="79" spans="1:6">
      <c r="A79" s="1" t="s">
        <v>373</v>
      </c>
      <c r="B79" s="1">
        <v>12687</v>
      </c>
      <c r="C79" s="1" t="s">
        <v>402</v>
      </c>
      <c r="D79" s="1" t="s">
        <v>211</v>
      </c>
      <c r="E79" s="1" t="s">
        <v>438</v>
      </c>
      <c r="F79" s="1" t="s">
        <v>444</v>
      </c>
    </row>
    <row r="80" spans="1:6">
      <c r="A80" s="1" t="s">
        <v>374</v>
      </c>
      <c r="B80" s="1">
        <v>479</v>
      </c>
      <c r="C80" s="1" t="s">
        <v>208</v>
      </c>
      <c r="D80" s="1" t="s">
        <v>426</v>
      </c>
      <c r="E80" s="1" t="s">
        <v>443</v>
      </c>
      <c r="F80" s="1" t="s">
        <v>444</v>
      </c>
    </row>
    <row r="81" spans="1:6">
      <c r="A81" s="1" t="s">
        <v>375</v>
      </c>
      <c r="B81" s="1">
        <v>24056</v>
      </c>
      <c r="C81" s="1" t="s">
        <v>408</v>
      </c>
      <c r="D81" s="1" t="s">
        <v>427</v>
      </c>
      <c r="E81" s="1" t="s">
        <v>435</v>
      </c>
      <c r="F81" s="1" t="s">
        <v>444</v>
      </c>
    </row>
    <row r="82" spans="1:6">
      <c r="A82" s="1" t="s">
        <v>376</v>
      </c>
      <c r="B82" s="1">
        <v>23728</v>
      </c>
      <c r="C82" s="1" t="s">
        <v>404</v>
      </c>
      <c r="D82" s="1" t="s">
        <v>428</v>
      </c>
      <c r="E82" s="1" t="s">
        <v>435</v>
      </c>
      <c r="F82" s="1" t="s">
        <v>444</v>
      </c>
    </row>
    <row r="83" spans="1:6">
      <c r="A83" s="1" t="s">
        <v>377</v>
      </c>
      <c r="B83" s="1">
        <v>25683</v>
      </c>
      <c r="C83" s="1" t="s">
        <v>390</v>
      </c>
      <c r="D83" s="1" t="s">
        <v>429</v>
      </c>
      <c r="E83" s="1" t="s">
        <v>435</v>
      </c>
      <c r="F83" s="1" t="s">
        <v>444</v>
      </c>
    </row>
    <row r="84" spans="1:6">
      <c r="A84" s="1" t="s">
        <v>378</v>
      </c>
      <c r="B84" s="1">
        <v>25972</v>
      </c>
      <c r="C84" s="1" t="s">
        <v>391</v>
      </c>
      <c r="D84" s="1" t="s">
        <v>430</v>
      </c>
      <c r="E84" s="1" t="s">
        <v>435</v>
      </c>
      <c r="F84" s="1" t="s">
        <v>444</v>
      </c>
    </row>
    <row r="85" spans="1:6">
      <c r="A85" s="1" t="s">
        <v>379</v>
      </c>
      <c r="B85" s="1">
        <v>25951</v>
      </c>
      <c r="C85" s="1" t="s">
        <v>392</v>
      </c>
      <c r="D85" s="1" t="s">
        <v>416</v>
      </c>
      <c r="E85" s="1" t="s">
        <v>435</v>
      </c>
      <c r="F85" s="1" t="s">
        <v>444</v>
      </c>
    </row>
    <row r="86" spans="1:6">
      <c r="A86" s="1" t="s">
        <v>380</v>
      </c>
      <c r="B86" s="1">
        <v>25848</v>
      </c>
      <c r="C86" s="1" t="s">
        <v>409</v>
      </c>
      <c r="D86" s="1" t="s">
        <v>417</v>
      </c>
      <c r="E86" s="1" t="s">
        <v>435</v>
      </c>
      <c r="F86" s="1" t="s">
        <v>444</v>
      </c>
    </row>
    <row r="87" spans="1:6">
      <c r="A87" s="1" t="s">
        <v>381</v>
      </c>
      <c r="B87" s="1">
        <v>25907</v>
      </c>
      <c r="C87" s="1" t="s">
        <v>394</v>
      </c>
      <c r="D87" s="1" t="s">
        <v>431</v>
      </c>
      <c r="E87" s="1" t="s">
        <v>435</v>
      </c>
      <c r="F87" s="1" t="s">
        <v>444</v>
      </c>
    </row>
    <row r="88" spans="1:6">
      <c r="A88" s="1" t="s">
        <v>382</v>
      </c>
      <c r="B88" s="1">
        <v>26072</v>
      </c>
      <c r="C88" s="1" t="s">
        <v>395</v>
      </c>
      <c r="D88" s="1" t="s">
        <v>419</v>
      </c>
      <c r="E88" s="1" t="s">
        <v>435</v>
      </c>
      <c r="F88" s="1" t="s">
        <v>444</v>
      </c>
    </row>
    <row r="89" spans="1:6">
      <c r="A89" s="1" t="s">
        <v>383</v>
      </c>
      <c r="B89" s="1">
        <v>26125</v>
      </c>
      <c r="C89" s="1" t="s">
        <v>396</v>
      </c>
      <c r="D89" s="1" t="s">
        <v>420</v>
      </c>
      <c r="E89" s="1" t="s">
        <v>435</v>
      </c>
      <c r="F89" s="1" t="s">
        <v>444</v>
      </c>
    </row>
    <row r="90" spans="1:6">
      <c r="A90" s="1" t="s">
        <v>384</v>
      </c>
      <c r="B90" s="1">
        <v>26006</v>
      </c>
      <c r="C90" s="1" t="s">
        <v>397</v>
      </c>
      <c r="D90" s="1" t="s">
        <v>421</v>
      </c>
      <c r="E90" s="1" t="s">
        <v>435</v>
      </c>
      <c r="F90" s="1" t="s">
        <v>444</v>
      </c>
    </row>
    <row r="91" spans="1:6">
      <c r="A91" s="1" t="s">
        <v>385</v>
      </c>
      <c r="B91" s="1">
        <v>26213</v>
      </c>
      <c r="C91" s="1" t="s">
        <v>398</v>
      </c>
      <c r="D91" s="1" t="s">
        <v>422</v>
      </c>
      <c r="E91" s="1" t="s">
        <v>435</v>
      </c>
      <c r="F91" s="1" t="s">
        <v>444</v>
      </c>
    </row>
    <row r="92" spans="1:6">
      <c r="A92" s="1" t="s">
        <v>386</v>
      </c>
      <c r="B92" s="1">
        <v>25771</v>
      </c>
      <c r="C92" s="1" t="s">
        <v>399</v>
      </c>
      <c r="D92" s="1" t="s">
        <v>423</v>
      </c>
      <c r="E92" s="1" t="s">
        <v>435</v>
      </c>
      <c r="F92" s="1" t="s">
        <v>444</v>
      </c>
    </row>
    <row r="93" spans="1:6">
      <c r="A93" s="1" t="s">
        <v>387</v>
      </c>
      <c r="B93" s="1">
        <v>26284</v>
      </c>
      <c r="C93" s="1" t="s">
        <v>400</v>
      </c>
      <c r="D93" s="1" t="s">
        <v>424</v>
      </c>
      <c r="E93" s="1" t="s">
        <v>435</v>
      </c>
      <c r="F93" s="1" t="s">
        <v>444</v>
      </c>
    </row>
    <row r="94" spans="1:6">
      <c r="A94" s="1" t="s">
        <v>388</v>
      </c>
      <c r="B94" s="1">
        <v>26164</v>
      </c>
      <c r="C94" s="1" t="s">
        <v>412</v>
      </c>
      <c r="D94" s="1" t="s">
        <v>425</v>
      </c>
      <c r="E94" s="1" t="s">
        <v>435</v>
      </c>
      <c r="F94" s="1" t="s">
        <v>444</v>
      </c>
    </row>
    <row r="95" spans="1:6">
      <c r="A95" s="1" t="s">
        <v>389</v>
      </c>
      <c r="B95" s="1">
        <v>16817</v>
      </c>
      <c r="C95" s="1" t="s">
        <v>402</v>
      </c>
      <c r="D95" s="1" t="s">
        <v>211</v>
      </c>
      <c r="E95" s="1" t="s">
        <v>436</v>
      </c>
      <c r="F95" s="1" t="s">
        <v>444</v>
      </c>
    </row>
  </sheetData>
  <autoFilter ref="A1:F9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.7109375" style="1" customWidth="1"/>
    <col min="2" max="5" width="14.7109375" style="1" customWidth="1"/>
    <col min="6" max="6" width="60.7109375" style="1" customWidth="1"/>
  </cols>
  <sheetData>
    <row r="1" spans="1:6">
      <c r="A1" s="2" t="s">
        <v>246</v>
      </c>
      <c r="B1" s="2" t="s">
        <v>247</v>
      </c>
      <c r="C1" s="2" t="s">
        <v>248</v>
      </c>
      <c r="D1" s="2" t="s">
        <v>249</v>
      </c>
      <c r="E1" s="2" t="s">
        <v>250</v>
      </c>
      <c r="F1" s="2" t="s">
        <v>251</v>
      </c>
    </row>
    <row r="2" spans="1:6">
      <c r="A2" s="1" t="s">
        <v>445</v>
      </c>
      <c r="B2" s="1">
        <v>29416</v>
      </c>
      <c r="C2" s="1" t="s">
        <v>209</v>
      </c>
      <c r="D2" s="1" t="s">
        <v>413</v>
      </c>
      <c r="E2" s="1" t="s">
        <v>435</v>
      </c>
      <c r="F2" s="1" t="s">
        <v>444</v>
      </c>
    </row>
    <row r="3" spans="1:6">
      <c r="A3" s="1" t="s">
        <v>446</v>
      </c>
      <c r="B3" s="1">
        <v>128797</v>
      </c>
      <c r="C3" s="1" t="s">
        <v>390</v>
      </c>
      <c r="D3" s="1" t="s">
        <v>414</v>
      </c>
      <c r="E3" s="1" t="s">
        <v>539</v>
      </c>
      <c r="F3" s="1" t="s">
        <v>444</v>
      </c>
    </row>
    <row r="4" spans="1:6">
      <c r="A4" s="1" t="s">
        <v>447</v>
      </c>
      <c r="B4" s="1">
        <v>129928</v>
      </c>
      <c r="C4" s="1" t="s">
        <v>391</v>
      </c>
      <c r="D4" s="1" t="s">
        <v>415</v>
      </c>
      <c r="E4" s="1" t="s">
        <v>540</v>
      </c>
      <c r="F4" s="1" t="s">
        <v>444</v>
      </c>
    </row>
    <row r="5" spans="1:6">
      <c r="A5" s="1" t="s">
        <v>448</v>
      </c>
      <c r="B5" s="1">
        <v>130381</v>
      </c>
      <c r="C5" s="1" t="s">
        <v>392</v>
      </c>
      <c r="D5" s="1" t="s">
        <v>416</v>
      </c>
      <c r="E5" s="1" t="s">
        <v>540</v>
      </c>
      <c r="F5" s="1" t="s">
        <v>444</v>
      </c>
    </row>
    <row r="6" spans="1:6">
      <c r="A6" s="1" t="s">
        <v>449</v>
      </c>
      <c r="B6" s="1">
        <v>129309</v>
      </c>
      <c r="C6" s="1" t="s">
        <v>393</v>
      </c>
      <c r="D6" s="1" t="s">
        <v>417</v>
      </c>
      <c r="E6" s="1" t="s">
        <v>540</v>
      </c>
      <c r="F6" s="1" t="s">
        <v>444</v>
      </c>
    </row>
    <row r="7" spans="1:6">
      <c r="A7" s="1" t="s">
        <v>450</v>
      </c>
      <c r="B7" s="1">
        <v>128769</v>
      </c>
      <c r="C7" s="1" t="s">
        <v>394</v>
      </c>
      <c r="D7" s="1" t="s">
        <v>418</v>
      </c>
      <c r="E7" s="1" t="s">
        <v>540</v>
      </c>
      <c r="F7" s="1" t="s">
        <v>444</v>
      </c>
    </row>
    <row r="8" spans="1:6">
      <c r="A8" s="1" t="s">
        <v>451</v>
      </c>
      <c r="B8" s="1">
        <v>130637</v>
      </c>
      <c r="C8" s="1" t="s">
        <v>395</v>
      </c>
      <c r="D8" s="1" t="s">
        <v>419</v>
      </c>
      <c r="E8" s="1" t="s">
        <v>540</v>
      </c>
      <c r="F8" s="1" t="s">
        <v>444</v>
      </c>
    </row>
    <row r="9" spans="1:6">
      <c r="A9" s="1" t="s">
        <v>452</v>
      </c>
      <c r="B9" s="1">
        <v>131794</v>
      </c>
      <c r="C9" s="1" t="s">
        <v>396</v>
      </c>
      <c r="D9" s="1" t="s">
        <v>420</v>
      </c>
      <c r="E9" s="1" t="s">
        <v>540</v>
      </c>
      <c r="F9" s="1" t="s">
        <v>444</v>
      </c>
    </row>
    <row r="10" spans="1:6">
      <c r="A10" s="1" t="s">
        <v>453</v>
      </c>
      <c r="B10" s="1">
        <v>131489</v>
      </c>
      <c r="C10" s="1" t="s">
        <v>397</v>
      </c>
      <c r="D10" s="1" t="s">
        <v>421</v>
      </c>
      <c r="E10" s="1" t="s">
        <v>540</v>
      </c>
      <c r="F10" s="1" t="s">
        <v>444</v>
      </c>
    </row>
    <row r="11" spans="1:6">
      <c r="A11" s="1" t="s">
        <v>454</v>
      </c>
      <c r="B11" s="1">
        <v>131562</v>
      </c>
      <c r="C11" s="1" t="s">
        <v>398</v>
      </c>
      <c r="D11" s="1" t="s">
        <v>422</v>
      </c>
      <c r="E11" s="1" t="s">
        <v>540</v>
      </c>
      <c r="F11" s="1" t="s">
        <v>444</v>
      </c>
    </row>
    <row r="12" spans="1:6">
      <c r="A12" s="1" t="s">
        <v>455</v>
      </c>
      <c r="B12" s="1">
        <v>130505</v>
      </c>
      <c r="C12" s="1" t="s">
        <v>399</v>
      </c>
      <c r="D12" s="1" t="s">
        <v>423</v>
      </c>
      <c r="E12" s="1" t="s">
        <v>540</v>
      </c>
      <c r="F12" s="1" t="s">
        <v>444</v>
      </c>
    </row>
    <row r="13" spans="1:6">
      <c r="A13" s="1" t="s">
        <v>456</v>
      </c>
      <c r="B13" s="1">
        <v>131951</v>
      </c>
      <c r="C13" s="1" t="s">
        <v>400</v>
      </c>
      <c r="D13" s="1" t="s">
        <v>424</v>
      </c>
      <c r="E13" s="1" t="s">
        <v>540</v>
      </c>
      <c r="F13" s="1" t="s">
        <v>444</v>
      </c>
    </row>
    <row r="14" spans="1:6">
      <c r="A14" s="1" t="s">
        <v>457</v>
      </c>
      <c r="B14" s="1">
        <v>131340</v>
      </c>
      <c r="C14" s="1" t="s">
        <v>401</v>
      </c>
      <c r="D14" s="1" t="s">
        <v>425</v>
      </c>
      <c r="E14" s="1" t="s">
        <v>540</v>
      </c>
      <c r="F14" s="1" t="s">
        <v>444</v>
      </c>
    </row>
    <row r="15" spans="1:6">
      <c r="A15" s="1" t="s">
        <v>458</v>
      </c>
      <c r="B15" s="1">
        <v>84048</v>
      </c>
      <c r="C15" s="1" t="s">
        <v>402</v>
      </c>
      <c r="D15" s="1" t="s">
        <v>211</v>
      </c>
      <c r="E15" s="1" t="s">
        <v>541</v>
      </c>
      <c r="F15" s="1" t="s">
        <v>444</v>
      </c>
    </row>
    <row r="16" spans="1:6">
      <c r="A16" s="1" t="s">
        <v>459</v>
      </c>
      <c r="B16" s="1">
        <v>1504</v>
      </c>
      <c r="C16" s="1" t="s">
        <v>208</v>
      </c>
      <c r="D16" s="1" t="s">
        <v>426</v>
      </c>
      <c r="E16" s="1" t="s">
        <v>542</v>
      </c>
      <c r="F16" s="1" t="s">
        <v>444</v>
      </c>
    </row>
    <row r="17" spans="1:6">
      <c r="A17" s="1" t="s">
        <v>460</v>
      </c>
      <c r="B17" s="1">
        <v>73094</v>
      </c>
      <c r="C17" s="1" t="s">
        <v>403</v>
      </c>
      <c r="D17" s="1" t="s">
        <v>427</v>
      </c>
      <c r="E17" s="1" t="s">
        <v>543</v>
      </c>
      <c r="F17" s="1" t="s">
        <v>444</v>
      </c>
    </row>
    <row r="18" spans="1:6">
      <c r="A18" s="1" t="s">
        <v>461</v>
      </c>
      <c r="B18" s="1">
        <v>75777</v>
      </c>
      <c r="C18" s="1" t="s">
        <v>404</v>
      </c>
      <c r="D18" s="1" t="s">
        <v>428</v>
      </c>
      <c r="E18" s="1" t="s">
        <v>544</v>
      </c>
      <c r="F18" s="1" t="s">
        <v>444</v>
      </c>
    </row>
    <row r="19" spans="1:6">
      <c r="A19" s="1" t="s">
        <v>462</v>
      </c>
      <c r="B19" s="1">
        <v>79941</v>
      </c>
      <c r="C19" s="1" t="s">
        <v>390</v>
      </c>
      <c r="D19" s="1" t="s">
        <v>429</v>
      </c>
      <c r="E19" s="1" t="s">
        <v>544</v>
      </c>
      <c r="F19" s="1" t="s">
        <v>444</v>
      </c>
    </row>
    <row r="20" spans="1:6">
      <c r="A20" s="1" t="s">
        <v>463</v>
      </c>
      <c r="B20" s="1">
        <v>81888</v>
      </c>
      <c r="C20" s="1" t="s">
        <v>391</v>
      </c>
      <c r="D20" s="1" t="s">
        <v>430</v>
      </c>
      <c r="E20" s="1" t="s">
        <v>544</v>
      </c>
      <c r="F20" s="1" t="s">
        <v>444</v>
      </c>
    </row>
    <row r="21" spans="1:6">
      <c r="A21" s="1" t="s">
        <v>464</v>
      </c>
      <c r="B21" s="1">
        <v>80480</v>
      </c>
      <c r="C21" s="1" t="s">
        <v>392</v>
      </c>
      <c r="D21" s="1" t="s">
        <v>416</v>
      </c>
      <c r="E21" s="1" t="s">
        <v>544</v>
      </c>
      <c r="F21" s="1" t="s">
        <v>444</v>
      </c>
    </row>
    <row r="22" spans="1:6">
      <c r="A22" s="1" t="s">
        <v>465</v>
      </c>
      <c r="B22" s="1">
        <v>79787</v>
      </c>
      <c r="C22" s="1" t="s">
        <v>405</v>
      </c>
      <c r="D22" s="1" t="s">
        <v>417</v>
      </c>
      <c r="E22" s="1" t="s">
        <v>544</v>
      </c>
      <c r="F22" s="1" t="s">
        <v>444</v>
      </c>
    </row>
    <row r="23" spans="1:6">
      <c r="A23" s="1" t="s">
        <v>466</v>
      </c>
      <c r="B23" s="1">
        <v>80496</v>
      </c>
      <c r="C23" s="1" t="s">
        <v>394</v>
      </c>
      <c r="D23" s="1" t="s">
        <v>431</v>
      </c>
      <c r="E23" s="1" t="s">
        <v>544</v>
      </c>
      <c r="F23" s="1" t="s">
        <v>444</v>
      </c>
    </row>
    <row r="24" spans="1:6">
      <c r="A24" s="1" t="s">
        <v>467</v>
      </c>
      <c r="B24" s="1">
        <v>80652</v>
      </c>
      <c r="C24" s="1" t="s">
        <v>395</v>
      </c>
      <c r="D24" s="1" t="s">
        <v>419</v>
      </c>
      <c r="E24" s="1" t="s">
        <v>544</v>
      </c>
      <c r="F24" s="1" t="s">
        <v>444</v>
      </c>
    </row>
    <row r="25" spans="1:6">
      <c r="A25" s="1" t="s">
        <v>468</v>
      </c>
      <c r="B25" s="1">
        <v>80986</v>
      </c>
      <c r="C25" s="1" t="s">
        <v>396</v>
      </c>
      <c r="D25" s="1" t="s">
        <v>420</v>
      </c>
      <c r="E25" s="1" t="s">
        <v>544</v>
      </c>
      <c r="F25" s="1" t="s">
        <v>444</v>
      </c>
    </row>
    <row r="26" spans="1:6">
      <c r="A26" s="1" t="s">
        <v>469</v>
      </c>
      <c r="B26" s="1">
        <v>80761</v>
      </c>
      <c r="C26" s="1" t="s">
        <v>397</v>
      </c>
      <c r="D26" s="1" t="s">
        <v>421</v>
      </c>
      <c r="E26" s="1" t="s">
        <v>544</v>
      </c>
      <c r="F26" s="1" t="s">
        <v>444</v>
      </c>
    </row>
    <row r="27" spans="1:6">
      <c r="A27" s="1" t="s">
        <v>470</v>
      </c>
      <c r="B27" s="1">
        <v>80363</v>
      </c>
      <c r="C27" s="1" t="s">
        <v>406</v>
      </c>
      <c r="D27" s="1" t="s">
        <v>422</v>
      </c>
      <c r="E27" s="1" t="s">
        <v>544</v>
      </c>
      <c r="F27" s="1" t="s">
        <v>444</v>
      </c>
    </row>
    <row r="28" spans="1:6">
      <c r="A28" s="1" t="s">
        <v>471</v>
      </c>
      <c r="B28" s="1">
        <v>79956</v>
      </c>
      <c r="C28" s="1" t="s">
        <v>407</v>
      </c>
      <c r="D28" s="1" t="s">
        <v>423</v>
      </c>
      <c r="E28" s="1" t="s">
        <v>544</v>
      </c>
      <c r="F28" s="1" t="s">
        <v>444</v>
      </c>
    </row>
    <row r="29" spans="1:6">
      <c r="A29" s="1" t="s">
        <v>472</v>
      </c>
      <c r="B29" s="1">
        <v>80539</v>
      </c>
      <c r="C29" s="1" t="s">
        <v>400</v>
      </c>
      <c r="D29" s="1" t="s">
        <v>424</v>
      </c>
      <c r="E29" s="1" t="s">
        <v>544</v>
      </c>
      <c r="F29" s="1" t="s">
        <v>444</v>
      </c>
    </row>
    <row r="30" spans="1:6">
      <c r="A30" s="1" t="s">
        <v>473</v>
      </c>
      <c r="B30" s="1">
        <v>80268</v>
      </c>
      <c r="C30" s="1" t="s">
        <v>401</v>
      </c>
      <c r="D30" s="1" t="s">
        <v>425</v>
      </c>
      <c r="E30" s="1" t="s">
        <v>544</v>
      </c>
      <c r="F30" s="1" t="s">
        <v>444</v>
      </c>
    </row>
    <row r="31" spans="1:6">
      <c r="A31" s="1" t="s">
        <v>474</v>
      </c>
      <c r="B31" s="1">
        <v>51204</v>
      </c>
      <c r="C31" s="1" t="s">
        <v>402</v>
      </c>
      <c r="D31" s="1" t="s">
        <v>211</v>
      </c>
      <c r="E31" s="1" t="s">
        <v>545</v>
      </c>
      <c r="F31" s="1" t="s">
        <v>444</v>
      </c>
    </row>
    <row r="32" spans="1:6">
      <c r="A32" s="1" t="s">
        <v>475</v>
      </c>
      <c r="B32" s="1">
        <v>1508</v>
      </c>
      <c r="C32" s="1" t="s">
        <v>208</v>
      </c>
      <c r="D32" s="1" t="s">
        <v>432</v>
      </c>
      <c r="E32" s="1" t="s">
        <v>546</v>
      </c>
      <c r="F32" s="1" t="s">
        <v>444</v>
      </c>
    </row>
    <row r="33" spans="1:6">
      <c r="A33" s="1" t="s">
        <v>476</v>
      </c>
      <c r="B33" s="1">
        <v>91726</v>
      </c>
      <c r="C33" s="1" t="s">
        <v>408</v>
      </c>
      <c r="D33" s="1" t="s">
        <v>427</v>
      </c>
      <c r="E33" s="1" t="s">
        <v>541</v>
      </c>
      <c r="F33" s="1" t="s">
        <v>444</v>
      </c>
    </row>
    <row r="34" spans="1:6">
      <c r="A34" s="1" t="s">
        <v>477</v>
      </c>
      <c r="B34" s="1">
        <v>86950</v>
      </c>
      <c r="C34" s="1" t="s">
        <v>404</v>
      </c>
      <c r="D34" s="1" t="s">
        <v>428</v>
      </c>
      <c r="E34" s="1" t="s">
        <v>541</v>
      </c>
      <c r="F34" s="1" t="s">
        <v>444</v>
      </c>
    </row>
    <row r="35" spans="1:6">
      <c r="A35" s="1" t="s">
        <v>478</v>
      </c>
      <c r="B35" s="1">
        <v>95409</v>
      </c>
      <c r="C35" s="1" t="s">
        <v>390</v>
      </c>
      <c r="D35" s="1" t="s">
        <v>429</v>
      </c>
      <c r="E35" s="1" t="s">
        <v>541</v>
      </c>
      <c r="F35" s="1" t="s">
        <v>444</v>
      </c>
    </row>
    <row r="36" spans="1:6">
      <c r="A36" s="1" t="s">
        <v>479</v>
      </c>
      <c r="B36" s="1">
        <v>98748</v>
      </c>
      <c r="C36" s="1" t="s">
        <v>391</v>
      </c>
      <c r="D36" s="1" t="s">
        <v>430</v>
      </c>
      <c r="E36" s="1" t="s">
        <v>547</v>
      </c>
      <c r="F36" s="1" t="s">
        <v>444</v>
      </c>
    </row>
    <row r="37" spans="1:6">
      <c r="A37" s="1" t="s">
        <v>480</v>
      </c>
      <c r="B37" s="1">
        <v>99266</v>
      </c>
      <c r="C37" s="1" t="s">
        <v>392</v>
      </c>
      <c r="D37" s="1" t="s">
        <v>416</v>
      </c>
      <c r="E37" s="1" t="s">
        <v>547</v>
      </c>
      <c r="F37" s="1" t="s">
        <v>444</v>
      </c>
    </row>
    <row r="38" spans="1:6">
      <c r="A38" s="1" t="s">
        <v>481</v>
      </c>
      <c r="B38" s="1">
        <v>97010</v>
      </c>
      <c r="C38" s="1" t="s">
        <v>409</v>
      </c>
      <c r="D38" s="1" t="s">
        <v>417</v>
      </c>
      <c r="E38" s="1" t="s">
        <v>547</v>
      </c>
      <c r="F38" s="1" t="s">
        <v>444</v>
      </c>
    </row>
    <row r="39" spans="1:6">
      <c r="A39" s="1" t="s">
        <v>482</v>
      </c>
      <c r="B39" s="1">
        <v>98188</v>
      </c>
      <c r="C39" s="1" t="s">
        <v>394</v>
      </c>
      <c r="D39" s="1" t="s">
        <v>431</v>
      </c>
      <c r="E39" s="1" t="s">
        <v>547</v>
      </c>
      <c r="F39" s="1" t="s">
        <v>444</v>
      </c>
    </row>
    <row r="40" spans="1:6">
      <c r="A40" s="1" t="s">
        <v>483</v>
      </c>
      <c r="B40" s="1">
        <v>99039</v>
      </c>
      <c r="C40" s="1" t="s">
        <v>395</v>
      </c>
      <c r="D40" s="1" t="s">
        <v>419</v>
      </c>
      <c r="E40" s="1" t="s">
        <v>547</v>
      </c>
      <c r="F40" s="1" t="s">
        <v>444</v>
      </c>
    </row>
    <row r="41" spans="1:6">
      <c r="A41" s="1" t="s">
        <v>484</v>
      </c>
      <c r="B41" s="1">
        <v>99533</v>
      </c>
      <c r="C41" s="1" t="s">
        <v>396</v>
      </c>
      <c r="D41" s="1" t="s">
        <v>420</v>
      </c>
      <c r="E41" s="1" t="s">
        <v>547</v>
      </c>
      <c r="F41" s="1" t="s">
        <v>444</v>
      </c>
    </row>
    <row r="42" spans="1:6">
      <c r="A42" s="1" t="s">
        <v>485</v>
      </c>
      <c r="B42" s="1">
        <v>99368</v>
      </c>
      <c r="C42" s="1" t="s">
        <v>397</v>
      </c>
      <c r="D42" s="1" t="s">
        <v>421</v>
      </c>
      <c r="E42" s="1" t="s">
        <v>547</v>
      </c>
      <c r="F42" s="1" t="s">
        <v>444</v>
      </c>
    </row>
    <row r="43" spans="1:6">
      <c r="A43" s="1" t="s">
        <v>486</v>
      </c>
      <c r="B43" s="1">
        <v>99174</v>
      </c>
      <c r="C43" s="1" t="s">
        <v>398</v>
      </c>
      <c r="D43" s="1" t="s">
        <v>422</v>
      </c>
      <c r="E43" s="1" t="s">
        <v>547</v>
      </c>
      <c r="F43" s="1" t="s">
        <v>444</v>
      </c>
    </row>
    <row r="44" spans="1:6">
      <c r="A44" s="1" t="s">
        <v>487</v>
      </c>
      <c r="B44" s="1">
        <v>98274</v>
      </c>
      <c r="C44" s="1" t="s">
        <v>407</v>
      </c>
      <c r="D44" s="1" t="s">
        <v>423</v>
      </c>
      <c r="E44" s="1" t="s">
        <v>547</v>
      </c>
      <c r="F44" s="1" t="s">
        <v>444</v>
      </c>
    </row>
    <row r="45" spans="1:6">
      <c r="A45" s="1" t="s">
        <v>488</v>
      </c>
      <c r="B45" s="1">
        <v>99199</v>
      </c>
      <c r="C45" s="1" t="s">
        <v>400</v>
      </c>
      <c r="D45" s="1" t="s">
        <v>424</v>
      </c>
      <c r="E45" s="1" t="s">
        <v>547</v>
      </c>
      <c r="F45" s="1" t="s">
        <v>444</v>
      </c>
    </row>
    <row r="46" spans="1:6">
      <c r="A46" s="1" t="s">
        <v>489</v>
      </c>
      <c r="B46" s="1">
        <v>98411</v>
      </c>
      <c r="C46" s="1" t="s">
        <v>401</v>
      </c>
      <c r="D46" s="1" t="s">
        <v>425</v>
      </c>
      <c r="E46" s="1" t="s">
        <v>547</v>
      </c>
      <c r="F46" s="1" t="s">
        <v>444</v>
      </c>
    </row>
    <row r="47" spans="1:6">
      <c r="A47" s="1" t="s">
        <v>490</v>
      </c>
      <c r="B47" s="1">
        <v>63378</v>
      </c>
      <c r="C47" s="1" t="s">
        <v>402</v>
      </c>
      <c r="D47" s="1" t="s">
        <v>211</v>
      </c>
      <c r="E47" s="1" t="s">
        <v>548</v>
      </c>
      <c r="F47" s="1" t="s">
        <v>444</v>
      </c>
    </row>
    <row r="48" spans="1:6">
      <c r="A48" s="1" t="s">
        <v>491</v>
      </c>
      <c r="B48" s="1">
        <v>692</v>
      </c>
      <c r="C48" s="1" t="s">
        <v>210</v>
      </c>
      <c r="D48" s="1" t="s">
        <v>432</v>
      </c>
      <c r="E48" s="1" t="s">
        <v>549</v>
      </c>
      <c r="F48" s="1" t="s">
        <v>444</v>
      </c>
    </row>
    <row r="49" spans="1:6">
      <c r="A49" s="1" t="s">
        <v>492</v>
      </c>
      <c r="B49" s="1">
        <v>66855</v>
      </c>
      <c r="C49" s="1" t="s">
        <v>403</v>
      </c>
      <c r="D49" s="1" t="s">
        <v>433</v>
      </c>
      <c r="E49" s="1" t="s">
        <v>548</v>
      </c>
      <c r="F49" s="1" t="s">
        <v>444</v>
      </c>
    </row>
    <row r="50" spans="1:6">
      <c r="A50" s="1" t="s">
        <v>493</v>
      </c>
      <c r="B50" s="1">
        <v>65815</v>
      </c>
      <c r="C50" s="1" t="s">
        <v>410</v>
      </c>
      <c r="D50" s="1" t="s">
        <v>428</v>
      </c>
      <c r="E50" s="1" t="s">
        <v>548</v>
      </c>
      <c r="F50" s="1" t="s">
        <v>444</v>
      </c>
    </row>
    <row r="51" spans="1:6">
      <c r="A51" s="1" t="s">
        <v>494</v>
      </c>
      <c r="B51" s="1">
        <v>75684</v>
      </c>
      <c r="C51" s="1" t="s">
        <v>390</v>
      </c>
      <c r="D51" s="1" t="s">
        <v>429</v>
      </c>
      <c r="E51" s="1" t="s">
        <v>544</v>
      </c>
      <c r="F51" s="1" t="s">
        <v>444</v>
      </c>
    </row>
    <row r="52" spans="1:6">
      <c r="A52" s="1" t="s">
        <v>495</v>
      </c>
      <c r="B52" s="1">
        <v>22682</v>
      </c>
      <c r="C52" s="1" t="s">
        <v>391</v>
      </c>
      <c r="D52" s="1" t="s">
        <v>430</v>
      </c>
      <c r="E52" s="1" t="s">
        <v>435</v>
      </c>
      <c r="F52" s="1" t="s">
        <v>444</v>
      </c>
    </row>
    <row r="53" spans="1:6">
      <c r="A53" s="1" t="s">
        <v>496</v>
      </c>
      <c r="B53" s="1">
        <v>61545</v>
      </c>
      <c r="C53" s="1" t="s">
        <v>392</v>
      </c>
      <c r="D53" s="1" t="s">
        <v>416</v>
      </c>
      <c r="E53" s="1" t="s">
        <v>548</v>
      </c>
      <c r="F53" s="1" t="s">
        <v>444</v>
      </c>
    </row>
    <row r="54" spans="1:6">
      <c r="A54" s="1" t="s">
        <v>497</v>
      </c>
      <c r="B54" s="1">
        <v>49212</v>
      </c>
      <c r="C54" s="1" t="s">
        <v>409</v>
      </c>
      <c r="D54" s="1" t="s">
        <v>417</v>
      </c>
      <c r="E54" s="1" t="s">
        <v>545</v>
      </c>
      <c r="F54" s="1" t="s">
        <v>444</v>
      </c>
    </row>
    <row r="55" spans="1:6">
      <c r="A55" s="1" t="s">
        <v>498</v>
      </c>
      <c r="B55" s="1">
        <v>68579</v>
      </c>
      <c r="C55" s="1" t="s">
        <v>394</v>
      </c>
      <c r="D55" s="1" t="s">
        <v>431</v>
      </c>
      <c r="E55" s="1" t="s">
        <v>543</v>
      </c>
      <c r="F55" s="1" t="s">
        <v>444</v>
      </c>
    </row>
    <row r="56" spans="1:6">
      <c r="A56" s="1" t="s">
        <v>499</v>
      </c>
      <c r="B56" s="1">
        <v>66292</v>
      </c>
      <c r="C56" s="1" t="s">
        <v>395</v>
      </c>
      <c r="D56" s="1" t="s">
        <v>419</v>
      </c>
      <c r="E56" s="1" t="s">
        <v>543</v>
      </c>
      <c r="F56" s="1" t="s">
        <v>444</v>
      </c>
    </row>
    <row r="57" spans="1:6">
      <c r="A57" s="1" t="s">
        <v>500</v>
      </c>
      <c r="B57" s="1">
        <v>74322</v>
      </c>
      <c r="C57" s="1" t="s">
        <v>396</v>
      </c>
      <c r="D57" s="1" t="s">
        <v>420</v>
      </c>
      <c r="E57" s="1" t="s">
        <v>543</v>
      </c>
      <c r="F57" s="1" t="s">
        <v>444</v>
      </c>
    </row>
    <row r="58" spans="1:6">
      <c r="A58" s="1" t="s">
        <v>501</v>
      </c>
      <c r="B58" s="1">
        <v>76462</v>
      </c>
      <c r="C58" s="1" t="s">
        <v>397</v>
      </c>
      <c r="D58" s="1" t="s">
        <v>421</v>
      </c>
      <c r="E58" s="1" t="s">
        <v>544</v>
      </c>
      <c r="F58" s="1" t="s">
        <v>444</v>
      </c>
    </row>
    <row r="59" spans="1:6">
      <c r="A59" s="1" t="s">
        <v>502</v>
      </c>
      <c r="B59" s="1">
        <v>74960</v>
      </c>
      <c r="C59" s="1" t="s">
        <v>398</v>
      </c>
      <c r="D59" s="1" t="s">
        <v>422</v>
      </c>
      <c r="E59" s="1" t="s">
        <v>544</v>
      </c>
      <c r="F59" s="1" t="s">
        <v>444</v>
      </c>
    </row>
    <row r="60" spans="1:6">
      <c r="A60" s="1" t="s">
        <v>503</v>
      </c>
      <c r="B60" s="1">
        <v>74143</v>
      </c>
      <c r="C60" s="1" t="s">
        <v>407</v>
      </c>
      <c r="D60" s="1" t="s">
        <v>423</v>
      </c>
      <c r="E60" s="1" t="s">
        <v>543</v>
      </c>
      <c r="F60" s="1" t="s">
        <v>444</v>
      </c>
    </row>
    <row r="61" spans="1:6">
      <c r="A61" s="1" t="s">
        <v>504</v>
      </c>
      <c r="B61" s="1">
        <v>77052</v>
      </c>
      <c r="C61" s="1" t="s">
        <v>400</v>
      </c>
      <c r="D61" s="1" t="s">
        <v>424</v>
      </c>
      <c r="E61" s="1" t="s">
        <v>544</v>
      </c>
      <c r="F61" s="1" t="s">
        <v>444</v>
      </c>
    </row>
    <row r="62" spans="1:6">
      <c r="A62" s="1" t="s">
        <v>505</v>
      </c>
      <c r="B62" s="1">
        <v>76979</v>
      </c>
      <c r="C62" s="1" t="s">
        <v>401</v>
      </c>
      <c r="D62" s="1" t="s">
        <v>425</v>
      </c>
      <c r="E62" s="1" t="s">
        <v>544</v>
      </c>
      <c r="F62" s="1" t="s">
        <v>444</v>
      </c>
    </row>
    <row r="63" spans="1:6">
      <c r="A63" s="1" t="s">
        <v>506</v>
      </c>
      <c r="B63" s="1">
        <v>49429</v>
      </c>
      <c r="C63" s="1" t="s">
        <v>402</v>
      </c>
      <c r="D63" s="1" t="s">
        <v>211</v>
      </c>
      <c r="E63" s="1" t="s">
        <v>545</v>
      </c>
      <c r="F63" s="1" t="s">
        <v>444</v>
      </c>
    </row>
    <row r="64" spans="1:6">
      <c r="A64" s="1" t="s">
        <v>507</v>
      </c>
      <c r="B64" s="1">
        <v>1312</v>
      </c>
      <c r="C64" s="1" t="s">
        <v>208</v>
      </c>
      <c r="D64" s="1" t="s">
        <v>432</v>
      </c>
      <c r="E64" s="1" t="s">
        <v>550</v>
      </c>
      <c r="F64" s="1" t="s">
        <v>444</v>
      </c>
    </row>
    <row r="65" spans="1:6">
      <c r="A65" s="1" t="s">
        <v>508</v>
      </c>
      <c r="B65" s="1">
        <v>87004</v>
      </c>
      <c r="C65" s="1" t="s">
        <v>411</v>
      </c>
      <c r="D65" s="1" t="s">
        <v>427</v>
      </c>
      <c r="E65" s="1" t="s">
        <v>541</v>
      </c>
      <c r="F65" s="1" t="s">
        <v>444</v>
      </c>
    </row>
    <row r="66" spans="1:6">
      <c r="A66" s="1" t="s">
        <v>509</v>
      </c>
      <c r="B66" s="1">
        <v>86944</v>
      </c>
      <c r="C66" s="1" t="s">
        <v>404</v>
      </c>
      <c r="D66" s="1" t="s">
        <v>428</v>
      </c>
      <c r="E66" s="1" t="s">
        <v>541</v>
      </c>
      <c r="F66" s="1" t="s">
        <v>444</v>
      </c>
    </row>
    <row r="67" spans="1:6">
      <c r="A67" s="1" t="s">
        <v>510</v>
      </c>
      <c r="B67" s="1">
        <v>91531</v>
      </c>
      <c r="C67" s="1" t="s">
        <v>390</v>
      </c>
      <c r="D67" s="1" t="s">
        <v>429</v>
      </c>
      <c r="E67" s="1" t="s">
        <v>541</v>
      </c>
      <c r="F67" s="1" t="s">
        <v>444</v>
      </c>
    </row>
    <row r="68" spans="1:6">
      <c r="A68" s="1" t="s">
        <v>511</v>
      </c>
      <c r="B68" s="1">
        <v>98272</v>
      </c>
      <c r="C68" s="1" t="s">
        <v>391</v>
      </c>
      <c r="D68" s="1" t="s">
        <v>430</v>
      </c>
      <c r="E68" s="1" t="s">
        <v>547</v>
      </c>
      <c r="F68" s="1" t="s">
        <v>444</v>
      </c>
    </row>
    <row r="69" spans="1:6">
      <c r="A69" s="1" t="s">
        <v>512</v>
      </c>
      <c r="B69" s="1">
        <v>98877</v>
      </c>
      <c r="C69" s="1" t="s">
        <v>392</v>
      </c>
      <c r="D69" s="1" t="s">
        <v>416</v>
      </c>
      <c r="E69" s="1" t="s">
        <v>547</v>
      </c>
      <c r="F69" s="1" t="s">
        <v>444</v>
      </c>
    </row>
    <row r="70" spans="1:6">
      <c r="A70" s="1" t="s">
        <v>513</v>
      </c>
      <c r="B70" s="1">
        <v>94231</v>
      </c>
      <c r="C70" s="1" t="s">
        <v>409</v>
      </c>
      <c r="D70" s="1" t="s">
        <v>417</v>
      </c>
      <c r="E70" s="1" t="s">
        <v>541</v>
      </c>
      <c r="F70" s="1" t="s">
        <v>444</v>
      </c>
    </row>
    <row r="71" spans="1:6">
      <c r="A71" s="1" t="s">
        <v>514</v>
      </c>
      <c r="B71" s="1">
        <v>97372</v>
      </c>
      <c r="C71" s="1" t="s">
        <v>394</v>
      </c>
      <c r="D71" s="1" t="s">
        <v>431</v>
      </c>
      <c r="E71" s="1" t="s">
        <v>547</v>
      </c>
      <c r="F71" s="1" t="s">
        <v>444</v>
      </c>
    </row>
    <row r="72" spans="1:6">
      <c r="A72" s="1" t="s">
        <v>515</v>
      </c>
      <c r="B72" s="1">
        <v>97589</v>
      </c>
      <c r="C72" s="1" t="s">
        <v>395</v>
      </c>
      <c r="D72" s="1" t="s">
        <v>419</v>
      </c>
      <c r="E72" s="1" t="s">
        <v>547</v>
      </c>
      <c r="F72" s="1" t="s">
        <v>444</v>
      </c>
    </row>
    <row r="73" spans="1:6">
      <c r="A73" s="1" t="s">
        <v>516</v>
      </c>
      <c r="B73" s="1">
        <v>99227</v>
      </c>
      <c r="C73" s="1" t="s">
        <v>396</v>
      </c>
      <c r="D73" s="1" t="s">
        <v>420</v>
      </c>
      <c r="E73" s="1" t="s">
        <v>547</v>
      </c>
      <c r="F73" s="1" t="s">
        <v>444</v>
      </c>
    </row>
    <row r="74" spans="1:6">
      <c r="A74" s="1" t="s">
        <v>517</v>
      </c>
      <c r="B74" s="1">
        <v>98947</v>
      </c>
      <c r="C74" s="1" t="s">
        <v>397</v>
      </c>
      <c r="D74" s="1" t="s">
        <v>421</v>
      </c>
      <c r="E74" s="1" t="s">
        <v>547</v>
      </c>
      <c r="F74" s="1" t="s">
        <v>444</v>
      </c>
    </row>
    <row r="75" spans="1:6">
      <c r="A75" s="1" t="s">
        <v>518</v>
      </c>
      <c r="B75" s="1">
        <v>99167</v>
      </c>
      <c r="C75" s="1" t="s">
        <v>398</v>
      </c>
      <c r="D75" s="1" t="s">
        <v>422</v>
      </c>
      <c r="E75" s="1" t="s">
        <v>547</v>
      </c>
      <c r="F75" s="1" t="s">
        <v>444</v>
      </c>
    </row>
    <row r="76" spans="1:6">
      <c r="A76" s="1" t="s">
        <v>519</v>
      </c>
      <c r="B76" s="1">
        <v>98189</v>
      </c>
      <c r="C76" s="1" t="s">
        <v>407</v>
      </c>
      <c r="D76" s="1" t="s">
        <v>423</v>
      </c>
      <c r="E76" s="1" t="s">
        <v>547</v>
      </c>
      <c r="F76" s="1" t="s">
        <v>444</v>
      </c>
    </row>
    <row r="77" spans="1:6">
      <c r="A77" s="1" t="s">
        <v>520</v>
      </c>
      <c r="B77" s="1">
        <v>99118</v>
      </c>
      <c r="C77" s="1" t="s">
        <v>400</v>
      </c>
      <c r="D77" s="1" t="s">
        <v>424</v>
      </c>
      <c r="E77" s="1" t="s">
        <v>547</v>
      </c>
      <c r="F77" s="1" t="s">
        <v>444</v>
      </c>
    </row>
    <row r="78" spans="1:6">
      <c r="A78" s="1" t="s">
        <v>521</v>
      </c>
      <c r="B78" s="1">
        <v>98405</v>
      </c>
      <c r="C78" s="1" t="s">
        <v>401</v>
      </c>
      <c r="D78" s="1" t="s">
        <v>425</v>
      </c>
      <c r="E78" s="1" t="s">
        <v>547</v>
      </c>
      <c r="F78" s="1" t="s">
        <v>444</v>
      </c>
    </row>
    <row r="79" spans="1:6">
      <c r="A79" s="1" t="s">
        <v>522</v>
      </c>
      <c r="B79" s="1">
        <v>63406</v>
      </c>
      <c r="C79" s="1" t="s">
        <v>402</v>
      </c>
      <c r="D79" s="1" t="s">
        <v>211</v>
      </c>
      <c r="E79" s="1" t="s">
        <v>548</v>
      </c>
      <c r="F79" s="1" t="s">
        <v>444</v>
      </c>
    </row>
    <row r="80" spans="1:6">
      <c r="A80" s="1" t="s">
        <v>523</v>
      </c>
      <c r="B80" s="1">
        <v>2363</v>
      </c>
      <c r="C80" s="1" t="s">
        <v>208</v>
      </c>
      <c r="D80" s="1" t="s">
        <v>426</v>
      </c>
      <c r="E80" s="1" t="s">
        <v>551</v>
      </c>
      <c r="F80" s="1" t="s">
        <v>444</v>
      </c>
    </row>
    <row r="81" spans="1:6">
      <c r="A81" s="1" t="s">
        <v>524</v>
      </c>
      <c r="B81" s="1">
        <v>119981</v>
      </c>
      <c r="C81" s="1" t="s">
        <v>408</v>
      </c>
      <c r="D81" s="1" t="s">
        <v>427</v>
      </c>
      <c r="E81" s="1" t="s">
        <v>552</v>
      </c>
      <c r="F81" s="1" t="s">
        <v>444</v>
      </c>
    </row>
    <row r="82" spans="1:6">
      <c r="A82" s="1" t="s">
        <v>525</v>
      </c>
      <c r="B82" s="1">
        <v>117536</v>
      </c>
      <c r="C82" s="1" t="s">
        <v>404</v>
      </c>
      <c r="D82" s="1" t="s">
        <v>428</v>
      </c>
      <c r="E82" s="1" t="s">
        <v>552</v>
      </c>
      <c r="F82" s="1" t="s">
        <v>444</v>
      </c>
    </row>
    <row r="83" spans="1:6">
      <c r="A83" s="1" t="s">
        <v>526</v>
      </c>
      <c r="B83" s="1">
        <v>127874</v>
      </c>
      <c r="C83" s="1" t="s">
        <v>390</v>
      </c>
      <c r="D83" s="1" t="s">
        <v>429</v>
      </c>
      <c r="E83" s="1" t="s">
        <v>539</v>
      </c>
      <c r="F83" s="1" t="s">
        <v>444</v>
      </c>
    </row>
    <row r="84" spans="1:6">
      <c r="A84" s="1" t="s">
        <v>527</v>
      </c>
      <c r="B84" s="1">
        <v>129769</v>
      </c>
      <c r="C84" s="1" t="s">
        <v>391</v>
      </c>
      <c r="D84" s="1" t="s">
        <v>430</v>
      </c>
      <c r="E84" s="1" t="s">
        <v>539</v>
      </c>
      <c r="F84" s="1" t="s">
        <v>444</v>
      </c>
    </row>
    <row r="85" spans="1:6">
      <c r="A85" s="1" t="s">
        <v>528</v>
      </c>
      <c r="B85" s="1">
        <v>129580</v>
      </c>
      <c r="C85" s="1" t="s">
        <v>392</v>
      </c>
      <c r="D85" s="1" t="s">
        <v>416</v>
      </c>
      <c r="E85" s="1" t="s">
        <v>539</v>
      </c>
      <c r="F85" s="1" t="s">
        <v>444</v>
      </c>
    </row>
    <row r="86" spans="1:6">
      <c r="A86" s="1" t="s">
        <v>529</v>
      </c>
      <c r="B86" s="1">
        <v>128635</v>
      </c>
      <c r="C86" s="1" t="s">
        <v>409</v>
      </c>
      <c r="D86" s="1" t="s">
        <v>417</v>
      </c>
      <c r="E86" s="1" t="s">
        <v>539</v>
      </c>
      <c r="F86" s="1" t="s">
        <v>444</v>
      </c>
    </row>
    <row r="87" spans="1:6">
      <c r="A87" s="1" t="s">
        <v>530</v>
      </c>
      <c r="B87" s="1">
        <v>129417</v>
      </c>
      <c r="C87" s="1" t="s">
        <v>394</v>
      </c>
      <c r="D87" s="1" t="s">
        <v>431</v>
      </c>
      <c r="E87" s="1" t="s">
        <v>539</v>
      </c>
      <c r="F87" s="1" t="s">
        <v>444</v>
      </c>
    </row>
    <row r="88" spans="1:6">
      <c r="A88" s="1" t="s">
        <v>531</v>
      </c>
      <c r="B88" s="1">
        <v>130203</v>
      </c>
      <c r="C88" s="1" t="s">
        <v>395</v>
      </c>
      <c r="D88" s="1" t="s">
        <v>419</v>
      </c>
      <c r="E88" s="1" t="s">
        <v>539</v>
      </c>
      <c r="F88" s="1" t="s">
        <v>444</v>
      </c>
    </row>
    <row r="89" spans="1:6">
      <c r="A89" s="1" t="s">
        <v>532</v>
      </c>
      <c r="B89" s="1">
        <v>130578</v>
      </c>
      <c r="C89" s="1" t="s">
        <v>396</v>
      </c>
      <c r="D89" s="1" t="s">
        <v>420</v>
      </c>
      <c r="E89" s="1" t="s">
        <v>539</v>
      </c>
      <c r="F89" s="1" t="s">
        <v>444</v>
      </c>
    </row>
    <row r="90" spans="1:6">
      <c r="A90" s="1" t="s">
        <v>533</v>
      </c>
      <c r="B90" s="1">
        <v>129886</v>
      </c>
      <c r="C90" s="1" t="s">
        <v>397</v>
      </c>
      <c r="D90" s="1" t="s">
        <v>421</v>
      </c>
      <c r="E90" s="1" t="s">
        <v>539</v>
      </c>
      <c r="F90" s="1" t="s">
        <v>444</v>
      </c>
    </row>
    <row r="91" spans="1:6">
      <c r="A91" s="1" t="s">
        <v>534</v>
      </c>
      <c r="B91" s="1">
        <v>130911</v>
      </c>
      <c r="C91" s="1" t="s">
        <v>398</v>
      </c>
      <c r="D91" s="1" t="s">
        <v>422</v>
      </c>
      <c r="E91" s="1" t="s">
        <v>539</v>
      </c>
      <c r="F91" s="1" t="s">
        <v>444</v>
      </c>
    </row>
    <row r="92" spans="1:6">
      <c r="A92" s="1" t="s">
        <v>535</v>
      </c>
      <c r="B92" s="1">
        <v>127756</v>
      </c>
      <c r="C92" s="1" t="s">
        <v>399</v>
      </c>
      <c r="D92" s="1" t="s">
        <v>423</v>
      </c>
      <c r="E92" s="1" t="s">
        <v>539</v>
      </c>
      <c r="F92" s="1" t="s">
        <v>444</v>
      </c>
    </row>
    <row r="93" spans="1:6">
      <c r="A93" s="1" t="s">
        <v>536</v>
      </c>
      <c r="B93" s="1">
        <v>130331</v>
      </c>
      <c r="C93" s="1" t="s">
        <v>400</v>
      </c>
      <c r="D93" s="1" t="s">
        <v>424</v>
      </c>
      <c r="E93" s="1" t="s">
        <v>539</v>
      </c>
      <c r="F93" s="1" t="s">
        <v>444</v>
      </c>
    </row>
    <row r="94" spans="1:6">
      <c r="A94" s="1" t="s">
        <v>537</v>
      </c>
      <c r="B94" s="1">
        <v>130672</v>
      </c>
      <c r="C94" s="1" t="s">
        <v>412</v>
      </c>
      <c r="D94" s="1" t="s">
        <v>425</v>
      </c>
      <c r="E94" s="1" t="s">
        <v>539</v>
      </c>
      <c r="F94" s="1" t="s">
        <v>444</v>
      </c>
    </row>
    <row r="95" spans="1:6">
      <c r="A95" s="1" t="s">
        <v>538</v>
      </c>
      <c r="B95" s="1">
        <v>84003</v>
      </c>
      <c r="C95" s="1" t="s">
        <v>402</v>
      </c>
      <c r="D95" s="1" t="s">
        <v>211</v>
      </c>
      <c r="E95" s="1" t="s">
        <v>541</v>
      </c>
      <c r="F95" s="1" t="s">
        <v>444</v>
      </c>
    </row>
  </sheetData>
  <autoFilter ref="A1:F9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style="1" customWidth="1"/>
    <col min="2" max="5" width="14.7109375" style="1" customWidth="1"/>
    <col min="6" max="6" width="60.7109375" style="1" customWidth="1"/>
  </cols>
  <sheetData>
    <row r="1" spans="1:6">
      <c r="A1" s="2" t="s">
        <v>246</v>
      </c>
      <c r="B1" s="2" t="s">
        <v>247</v>
      </c>
      <c r="C1" s="2" t="s">
        <v>248</v>
      </c>
      <c r="D1" s="2" t="s">
        <v>249</v>
      </c>
      <c r="E1" s="2" t="s">
        <v>250</v>
      </c>
      <c r="F1" s="2" t="s">
        <v>251</v>
      </c>
    </row>
    <row r="2" spans="1:6">
      <c r="A2" s="1" t="s">
        <v>553</v>
      </c>
      <c r="B2" s="1">
        <v>3307</v>
      </c>
      <c r="C2" s="1" t="s">
        <v>209</v>
      </c>
      <c r="D2" s="1" t="s">
        <v>211</v>
      </c>
      <c r="E2" s="1" t="s">
        <v>559</v>
      </c>
      <c r="F2" s="1" t="s">
        <v>562</v>
      </c>
    </row>
    <row r="3" spans="1:6">
      <c r="A3" s="1" t="s">
        <v>554</v>
      </c>
      <c r="B3" s="1">
        <v>3576</v>
      </c>
      <c r="C3" s="1" t="s">
        <v>208</v>
      </c>
      <c r="D3" s="1" t="s">
        <v>211</v>
      </c>
      <c r="E3" s="1" t="s">
        <v>560</v>
      </c>
      <c r="F3" s="1" t="s">
        <v>562</v>
      </c>
    </row>
    <row r="4" spans="1:6">
      <c r="A4" s="1" t="s">
        <v>555</v>
      </c>
      <c r="B4" s="1">
        <v>3733</v>
      </c>
      <c r="C4" s="1" t="s">
        <v>208</v>
      </c>
      <c r="D4" s="1" t="s">
        <v>211</v>
      </c>
      <c r="E4" s="1" t="s">
        <v>438</v>
      </c>
      <c r="F4" s="1" t="s">
        <v>562</v>
      </c>
    </row>
    <row r="5" spans="1:6">
      <c r="A5" s="1" t="s">
        <v>556</v>
      </c>
      <c r="B5" s="1">
        <v>3543</v>
      </c>
      <c r="C5" s="1" t="s">
        <v>210</v>
      </c>
      <c r="D5" s="1" t="s">
        <v>211</v>
      </c>
      <c r="E5" s="1" t="s">
        <v>561</v>
      </c>
      <c r="F5" s="1" t="s">
        <v>562</v>
      </c>
    </row>
    <row r="6" spans="1:6">
      <c r="A6" s="1" t="s">
        <v>557</v>
      </c>
      <c r="B6" s="1">
        <v>3755</v>
      </c>
      <c r="C6" s="1" t="s">
        <v>208</v>
      </c>
      <c r="D6" s="1" t="s">
        <v>211</v>
      </c>
      <c r="E6" s="1" t="s">
        <v>438</v>
      </c>
      <c r="F6" s="1" t="s">
        <v>562</v>
      </c>
    </row>
    <row r="7" spans="1:6">
      <c r="A7" s="1" t="s">
        <v>558</v>
      </c>
      <c r="B7" s="1">
        <v>3728</v>
      </c>
      <c r="C7" s="1" t="s">
        <v>208</v>
      </c>
      <c r="D7" s="1" t="s">
        <v>211</v>
      </c>
      <c r="E7" s="1" t="s">
        <v>438</v>
      </c>
      <c r="F7" s="1" t="s">
        <v>562</v>
      </c>
    </row>
  </sheetData>
  <autoFilter ref="A1:F7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5.7109375" style="1" customWidth="1"/>
    <col min="2" max="5" width="14.7109375" style="1" customWidth="1"/>
    <col min="6" max="6" width="60.7109375" style="1" customWidth="1"/>
  </cols>
  <sheetData>
    <row r="1" spans="1:6">
      <c r="A1" s="2" t="s">
        <v>246</v>
      </c>
      <c r="B1" s="2" t="s">
        <v>247</v>
      </c>
      <c r="C1" s="2" t="s">
        <v>248</v>
      </c>
      <c r="D1" s="2" t="s">
        <v>249</v>
      </c>
      <c r="E1" s="2" t="s">
        <v>250</v>
      </c>
      <c r="F1" s="2" t="s">
        <v>251</v>
      </c>
    </row>
    <row r="2" spans="1:6">
      <c r="A2" s="1" t="s">
        <v>563</v>
      </c>
      <c r="B2" s="1">
        <v>4745</v>
      </c>
      <c r="C2" s="1" t="s">
        <v>585</v>
      </c>
      <c r="D2" s="1" t="s">
        <v>211</v>
      </c>
      <c r="E2" s="1" t="s">
        <v>597</v>
      </c>
      <c r="F2" s="1" t="s">
        <v>618</v>
      </c>
    </row>
    <row r="3" spans="1:6">
      <c r="A3" s="1" t="s">
        <v>564</v>
      </c>
      <c r="B3" s="1">
        <v>9336</v>
      </c>
      <c r="C3" s="1" t="s">
        <v>586</v>
      </c>
      <c r="D3" s="1" t="s">
        <v>211</v>
      </c>
      <c r="E3" s="1" t="s">
        <v>598</v>
      </c>
      <c r="F3" s="1" t="s">
        <v>618</v>
      </c>
    </row>
    <row r="4" spans="1:6">
      <c r="A4" s="1" t="s">
        <v>565</v>
      </c>
      <c r="B4" s="1">
        <v>5896</v>
      </c>
      <c r="C4" s="1" t="s">
        <v>587</v>
      </c>
      <c r="D4" s="1" t="s">
        <v>211</v>
      </c>
      <c r="E4" s="1" t="s">
        <v>599</v>
      </c>
      <c r="F4" s="1" t="s">
        <v>618</v>
      </c>
    </row>
    <row r="5" spans="1:6">
      <c r="A5" s="1" t="s">
        <v>566</v>
      </c>
      <c r="B5" s="1">
        <v>7657</v>
      </c>
      <c r="C5" s="1" t="s">
        <v>588</v>
      </c>
      <c r="D5" s="1" t="s">
        <v>211</v>
      </c>
      <c r="E5" s="1" t="s">
        <v>600</v>
      </c>
      <c r="F5" s="1" t="s">
        <v>618</v>
      </c>
    </row>
    <row r="6" spans="1:6">
      <c r="A6" s="1" t="s">
        <v>567</v>
      </c>
      <c r="B6" s="1">
        <v>7657</v>
      </c>
      <c r="C6" s="1" t="s">
        <v>588</v>
      </c>
      <c r="D6" s="1" t="s">
        <v>211</v>
      </c>
      <c r="E6" s="1" t="s">
        <v>601</v>
      </c>
      <c r="F6" s="1" t="s">
        <v>618</v>
      </c>
    </row>
    <row r="7" spans="1:6">
      <c r="A7" s="1" t="s">
        <v>568</v>
      </c>
      <c r="B7" s="1">
        <v>7657</v>
      </c>
      <c r="C7" s="1" t="s">
        <v>588</v>
      </c>
      <c r="D7" s="1" t="s">
        <v>211</v>
      </c>
      <c r="E7" s="1" t="s">
        <v>602</v>
      </c>
      <c r="F7" s="1" t="s">
        <v>618</v>
      </c>
    </row>
    <row r="8" spans="1:6">
      <c r="A8" s="1" t="s">
        <v>569</v>
      </c>
      <c r="B8" s="1">
        <v>7657</v>
      </c>
      <c r="C8" s="1" t="s">
        <v>588</v>
      </c>
      <c r="D8" s="1" t="s">
        <v>211</v>
      </c>
      <c r="E8" s="1" t="s">
        <v>603</v>
      </c>
      <c r="F8" s="1" t="s">
        <v>618</v>
      </c>
    </row>
    <row r="9" spans="1:6">
      <c r="A9" s="1" t="s">
        <v>570</v>
      </c>
      <c r="B9" s="1">
        <v>5909</v>
      </c>
      <c r="C9" s="1" t="s">
        <v>587</v>
      </c>
      <c r="D9" s="1" t="s">
        <v>22</v>
      </c>
      <c r="E9" s="1" t="s">
        <v>604</v>
      </c>
      <c r="F9" s="1" t="s">
        <v>618</v>
      </c>
    </row>
    <row r="10" spans="1:6">
      <c r="A10" s="1" t="s">
        <v>571</v>
      </c>
      <c r="B10" s="1">
        <v>6518</v>
      </c>
      <c r="C10" s="1" t="s">
        <v>589</v>
      </c>
      <c r="D10" s="1" t="s">
        <v>211</v>
      </c>
      <c r="E10" s="1" t="s">
        <v>605</v>
      </c>
      <c r="F10" s="1" t="s">
        <v>618</v>
      </c>
    </row>
    <row r="11" spans="1:6">
      <c r="A11" s="1" t="s">
        <v>572</v>
      </c>
      <c r="B11" s="1">
        <v>4873</v>
      </c>
      <c r="C11" s="1" t="s">
        <v>590</v>
      </c>
      <c r="D11" s="1" t="s">
        <v>211</v>
      </c>
      <c r="E11" s="1" t="s">
        <v>606</v>
      </c>
      <c r="F11" s="1" t="s">
        <v>618</v>
      </c>
    </row>
    <row r="12" spans="1:6">
      <c r="A12" s="1" t="s">
        <v>573</v>
      </c>
      <c r="B12" s="1">
        <v>6055</v>
      </c>
      <c r="C12" s="1" t="s">
        <v>591</v>
      </c>
      <c r="D12" s="1" t="s">
        <v>211</v>
      </c>
      <c r="E12" s="1" t="s">
        <v>607</v>
      </c>
      <c r="F12" s="1" t="s">
        <v>618</v>
      </c>
    </row>
    <row r="13" spans="1:6">
      <c r="A13" s="1" t="s">
        <v>574</v>
      </c>
      <c r="B13" s="1">
        <v>6055</v>
      </c>
      <c r="C13" s="1" t="s">
        <v>591</v>
      </c>
      <c r="D13" s="1" t="s">
        <v>211</v>
      </c>
      <c r="E13" s="1" t="s">
        <v>608</v>
      </c>
      <c r="F13" s="1" t="s">
        <v>618</v>
      </c>
    </row>
    <row r="14" spans="1:6">
      <c r="A14" s="1" t="s">
        <v>575</v>
      </c>
      <c r="B14" s="1">
        <v>6906</v>
      </c>
      <c r="C14" s="1" t="s">
        <v>592</v>
      </c>
      <c r="D14" s="1" t="s">
        <v>211</v>
      </c>
      <c r="E14" s="1" t="s">
        <v>609</v>
      </c>
      <c r="F14" s="1" t="s">
        <v>618</v>
      </c>
    </row>
    <row r="15" spans="1:6">
      <c r="A15" s="1" t="s">
        <v>576</v>
      </c>
      <c r="B15" s="1">
        <v>8448</v>
      </c>
      <c r="C15" s="1" t="s">
        <v>593</v>
      </c>
      <c r="D15" s="1" t="s">
        <v>211</v>
      </c>
      <c r="E15" s="1" t="s">
        <v>610</v>
      </c>
      <c r="F15" s="1" t="s">
        <v>618</v>
      </c>
    </row>
    <row r="16" spans="1:6">
      <c r="A16" s="1" t="s">
        <v>577</v>
      </c>
      <c r="B16" s="1">
        <v>6055</v>
      </c>
      <c r="C16" s="1" t="s">
        <v>591</v>
      </c>
      <c r="D16" s="1" t="s">
        <v>211</v>
      </c>
      <c r="E16" s="1" t="s">
        <v>611</v>
      </c>
      <c r="F16" s="1" t="s">
        <v>618</v>
      </c>
    </row>
    <row r="17" spans="1:6">
      <c r="A17" s="1" t="s">
        <v>578</v>
      </c>
      <c r="B17" s="1">
        <v>9196</v>
      </c>
      <c r="C17" s="1" t="s">
        <v>237</v>
      </c>
      <c r="D17" s="1" t="s">
        <v>211</v>
      </c>
      <c r="E17" s="1" t="s">
        <v>612</v>
      </c>
      <c r="F17" s="1" t="s">
        <v>618</v>
      </c>
    </row>
    <row r="18" spans="1:6">
      <c r="A18" s="1" t="s">
        <v>579</v>
      </c>
      <c r="B18" s="1">
        <v>9196</v>
      </c>
      <c r="C18" s="1" t="s">
        <v>237</v>
      </c>
      <c r="D18" s="1" t="s">
        <v>211</v>
      </c>
      <c r="E18" s="1" t="s">
        <v>613</v>
      </c>
      <c r="F18" s="1" t="s">
        <v>618</v>
      </c>
    </row>
    <row r="19" spans="1:6">
      <c r="A19" s="1" t="s">
        <v>580</v>
      </c>
      <c r="B19" s="1">
        <v>9196</v>
      </c>
      <c r="C19" s="1" t="s">
        <v>237</v>
      </c>
      <c r="D19" s="1" t="s">
        <v>211</v>
      </c>
      <c r="E19" s="1" t="s">
        <v>603</v>
      </c>
      <c r="F19" s="1" t="s">
        <v>618</v>
      </c>
    </row>
    <row r="20" spans="1:6">
      <c r="A20" s="1" t="s">
        <v>581</v>
      </c>
      <c r="B20" s="1">
        <v>9196</v>
      </c>
      <c r="C20" s="1" t="s">
        <v>237</v>
      </c>
      <c r="D20" s="1" t="s">
        <v>211</v>
      </c>
      <c r="E20" s="1" t="s">
        <v>614</v>
      </c>
      <c r="F20" s="1" t="s">
        <v>618</v>
      </c>
    </row>
    <row r="21" spans="1:6">
      <c r="A21" s="1" t="s">
        <v>582</v>
      </c>
      <c r="B21" s="1">
        <v>6355</v>
      </c>
      <c r="C21" s="1" t="s">
        <v>594</v>
      </c>
      <c r="D21" s="1" t="s">
        <v>22</v>
      </c>
      <c r="E21" s="1" t="s">
        <v>615</v>
      </c>
      <c r="F21" s="1" t="s">
        <v>618</v>
      </c>
    </row>
    <row r="22" spans="1:6">
      <c r="A22" s="1" t="s">
        <v>583</v>
      </c>
      <c r="B22" s="1">
        <v>7730</v>
      </c>
      <c r="C22" s="1" t="s">
        <v>595</v>
      </c>
      <c r="D22" s="1" t="s">
        <v>211</v>
      </c>
      <c r="E22" s="1" t="s">
        <v>616</v>
      </c>
      <c r="F22" s="1" t="s">
        <v>618</v>
      </c>
    </row>
    <row r="23" spans="1:6">
      <c r="A23" s="1" t="s">
        <v>584</v>
      </c>
      <c r="B23" s="1">
        <v>6527</v>
      </c>
      <c r="C23" s="1" t="s">
        <v>596</v>
      </c>
      <c r="D23" s="1" t="s">
        <v>211</v>
      </c>
      <c r="E23" s="1" t="s">
        <v>617</v>
      </c>
      <c r="F23" s="1" t="s">
        <v>618</v>
      </c>
    </row>
  </sheetData>
  <autoFilter ref="A1:F2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style="1" customWidth="1"/>
    <col min="2" max="5" width="14.7109375" style="1" customWidth="1"/>
    <col min="6" max="6" width="60.7109375" style="1" customWidth="1"/>
  </cols>
  <sheetData>
    <row r="1" spans="1:6">
      <c r="A1" s="2" t="s">
        <v>246</v>
      </c>
      <c r="B1" s="2" t="s">
        <v>247</v>
      </c>
      <c r="C1" s="2" t="s">
        <v>248</v>
      </c>
      <c r="D1" s="2" t="s">
        <v>249</v>
      </c>
      <c r="E1" s="2" t="s">
        <v>250</v>
      </c>
      <c r="F1" s="2" t="s">
        <v>251</v>
      </c>
    </row>
    <row r="2" spans="1:6">
      <c r="A2" s="1" t="s">
        <v>619</v>
      </c>
      <c r="B2" s="1">
        <v>9270</v>
      </c>
      <c r="C2" s="1" t="s">
        <v>237</v>
      </c>
      <c r="D2" s="1" t="s">
        <v>211</v>
      </c>
      <c r="E2" s="1" t="s">
        <v>436</v>
      </c>
      <c r="F2" s="1" t="s">
        <v>625</v>
      </c>
    </row>
    <row r="3" spans="1:6">
      <c r="A3" s="1" t="s">
        <v>620</v>
      </c>
      <c r="B3" s="1">
        <v>9041</v>
      </c>
      <c r="C3" s="1" t="s">
        <v>237</v>
      </c>
      <c r="D3" s="1" t="s">
        <v>211</v>
      </c>
      <c r="E3" s="1" t="s">
        <v>436</v>
      </c>
      <c r="F3" s="1" t="s">
        <v>625</v>
      </c>
    </row>
    <row r="4" spans="1:6">
      <c r="A4" s="1" t="s">
        <v>621</v>
      </c>
      <c r="B4" s="1">
        <v>9227</v>
      </c>
      <c r="C4" s="1" t="s">
        <v>237</v>
      </c>
      <c r="D4" s="1" t="s">
        <v>211</v>
      </c>
      <c r="E4" s="1" t="s">
        <v>436</v>
      </c>
      <c r="F4" s="1" t="s">
        <v>625</v>
      </c>
    </row>
    <row r="5" spans="1:6">
      <c r="A5" s="1" t="s">
        <v>622</v>
      </c>
      <c r="B5" s="1">
        <v>8990</v>
      </c>
      <c r="C5" s="1" t="s">
        <v>238</v>
      </c>
      <c r="D5" s="1" t="s">
        <v>211</v>
      </c>
      <c r="E5" s="1" t="s">
        <v>436</v>
      </c>
      <c r="F5" s="1" t="s">
        <v>625</v>
      </c>
    </row>
    <row r="6" spans="1:6">
      <c r="A6" s="1" t="s">
        <v>623</v>
      </c>
      <c r="B6" s="1">
        <v>9227</v>
      </c>
      <c r="C6" s="1" t="s">
        <v>237</v>
      </c>
      <c r="D6" s="1" t="s">
        <v>211</v>
      </c>
      <c r="E6" s="1" t="s">
        <v>436</v>
      </c>
      <c r="F6" s="1" t="s">
        <v>626</v>
      </c>
    </row>
    <row r="7" spans="1:6">
      <c r="A7" s="1" t="s">
        <v>624</v>
      </c>
      <c r="B7" s="1">
        <v>9255</v>
      </c>
      <c r="C7" s="1" t="s">
        <v>237</v>
      </c>
      <c r="D7" s="1" t="s">
        <v>211</v>
      </c>
      <c r="E7" s="1" t="s">
        <v>436</v>
      </c>
      <c r="F7" s="1" t="s">
        <v>625</v>
      </c>
    </row>
  </sheetData>
  <autoFilter ref="A1:F7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style="1" customWidth="1"/>
    <col min="2" max="2" width="23.7109375" style="1" customWidth="1"/>
    <col min="3" max="3" width="14.7109375" style="1" customWidth="1"/>
    <col min="4" max="4" width="60.7109375" style="1" customWidth="1"/>
  </cols>
  <sheetData>
    <row r="1" spans="1:4">
      <c r="A1" s="2" t="s">
        <v>684</v>
      </c>
      <c r="B1" s="2" t="s">
        <v>685</v>
      </c>
      <c r="C1" s="2" t="s">
        <v>686</v>
      </c>
      <c r="D1" s="2" t="s">
        <v>687</v>
      </c>
    </row>
    <row r="2" spans="1:4">
      <c r="A2" s="1" t="s">
        <v>627</v>
      </c>
      <c r="B2" s="1" t="s">
        <v>635</v>
      </c>
      <c r="C2" s="1" t="s">
        <v>653</v>
      </c>
      <c r="D2" s="1" t="s">
        <v>659</v>
      </c>
    </row>
    <row r="3" spans="1:4">
      <c r="A3" s="1" t="s">
        <v>628</v>
      </c>
      <c r="B3" s="1" t="s">
        <v>636</v>
      </c>
      <c r="C3" s="1" t="s">
        <v>654</v>
      </c>
      <c r="D3" s="1" t="s">
        <v>660</v>
      </c>
    </row>
    <row r="4" spans="1:4">
      <c r="A4" s="1" t="s">
        <v>628</v>
      </c>
      <c r="B4" s="1" t="s">
        <v>637</v>
      </c>
      <c r="C4" s="1" t="s">
        <v>655</v>
      </c>
      <c r="D4" s="1" t="s">
        <v>661</v>
      </c>
    </row>
    <row r="5" spans="1:4">
      <c r="A5" s="1" t="s">
        <v>628</v>
      </c>
      <c r="B5" s="1" t="s">
        <v>638</v>
      </c>
      <c r="C5" s="1" t="s">
        <v>655</v>
      </c>
      <c r="D5" s="1" t="s">
        <v>662</v>
      </c>
    </row>
    <row r="6" spans="1:4">
      <c r="A6" s="1" t="s">
        <v>628</v>
      </c>
      <c r="B6" s="1" t="s">
        <v>639</v>
      </c>
      <c r="C6" s="1" t="s">
        <v>656</v>
      </c>
      <c r="D6" s="1" t="s">
        <v>663</v>
      </c>
    </row>
    <row r="7" spans="1:4">
      <c r="A7" s="1" t="s">
        <v>628</v>
      </c>
      <c r="B7" s="1" t="s">
        <v>640</v>
      </c>
      <c r="C7" s="1" t="s">
        <v>655</v>
      </c>
      <c r="D7" s="1" t="s">
        <v>664</v>
      </c>
    </row>
    <row r="8" spans="1:4">
      <c r="A8" s="1" t="s">
        <v>629</v>
      </c>
      <c r="B8" s="1" t="s">
        <v>635</v>
      </c>
      <c r="C8" s="1" t="s">
        <v>653</v>
      </c>
      <c r="D8" s="1" t="s">
        <v>665</v>
      </c>
    </row>
    <row r="9" spans="1:4">
      <c r="A9" s="1" t="s">
        <v>630</v>
      </c>
      <c r="B9" s="1" t="s">
        <v>636</v>
      </c>
      <c r="C9" s="1" t="s">
        <v>654</v>
      </c>
      <c r="D9" s="1" t="s">
        <v>666</v>
      </c>
    </row>
    <row r="10" spans="1:4">
      <c r="A10" s="1" t="s">
        <v>630</v>
      </c>
      <c r="B10" s="1" t="s">
        <v>641</v>
      </c>
      <c r="C10" s="1" t="s">
        <v>655</v>
      </c>
      <c r="D10" s="1" t="s">
        <v>667</v>
      </c>
    </row>
    <row r="11" spans="1:4">
      <c r="A11" s="1" t="s">
        <v>630</v>
      </c>
      <c r="B11" s="1" t="s">
        <v>642</v>
      </c>
      <c r="C11" s="1" t="s">
        <v>655</v>
      </c>
      <c r="D11" s="1" t="s">
        <v>668</v>
      </c>
    </row>
    <row r="12" spans="1:4">
      <c r="A12" s="1" t="s">
        <v>631</v>
      </c>
      <c r="B12" s="1" t="s">
        <v>635</v>
      </c>
      <c r="C12" s="1" t="s">
        <v>653</v>
      </c>
      <c r="D12" s="1" t="s">
        <v>669</v>
      </c>
    </row>
    <row r="13" spans="1:4">
      <c r="A13" s="1" t="s">
        <v>632</v>
      </c>
      <c r="B13" s="1" t="s">
        <v>636</v>
      </c>
      <c r="C13" s="1" t="s">
        <v>654</v>
      </c>
      <c r="D13" s="1" t="s">
        <v>670</v>
      </c>
    </row>
    <row r="14" spans="1:4">
      <c r="A14" s="1" t="s">
        <v>632</v>
      </c>
      <c r="B14" s="1" t="s">
        <v>643</v>
      </c>
      <c r="C14" s="1" t="s">
        <v>657</v>
      </c>
      <c r="D14" s="1" t="s">
        <v>671</v>
      </c>
    </row>
    <row r="15" spans="1:4">
      <c r="A15" s="1" t="s">
        <v>632</v>
      </c>
      <c r="B15" s="1" t="s">
        <v>644</v>
      </c>
      <c r="C15" s="1" t="s">
        <v>658</v>
      </c>
      <c r="D15" s="1" t="s">
        <v>672</v>
      </c>
    </row>
    <row r="16" spans="1:4">
      <c r="A16" s="1" t="s">
        <v>632</v>
      </c>
      <c r="B16" s="1" t="s">
        <v>637</v>
      </c>
      <c r="C16" s="1" t="s">
        <v>655</v>
      </c>
      <c r="D16" s="1" t="s">
        <v>673</v>
      </c>
    </row>
    <row r="17" spans="1:4">
      <c r="A17" s="1" t="s">
        <v>632</v>
      </c>
      <c r="B17" s="1" t="s">
        <v>639</v>
      </c>
      <c r="C17" s="1" t="s">
        <v>655</v>
      </c>
      <c r="D17" s="1" t="s">
        <v>674</v>
      </c>
    </row>
    <row r="18" spans="1:4">
      <c r="A18" s="1" t="s">
        <v>633</v>
      </c>
      <c r="B18" s="1" t="s">
        <v>635</v>
      </c>
      <c r="C18" s="1" t="s">
        <v>653</v>
      </c>
      <c r="D18" s="1" t="s">
        <v>675</v>
      </c>
    </row>
    <row r="19" spans="1:4">
      <c r="A19" s="1" t="s">
        <v>634</v>
      </c>
      <c r="B19" s="1" t="s">
        <v>645</v>
      </c>
      <c r="C19" s="1" t="s">
        <v>656</v>
      </c>
      <c r="D19" s="1" t="s">
        <v>676</v>
      </c>
    </row>
    <row r="20" spans="1:4">
      <c r="A20" s="1" t="s">
        <v>634</v>
      </c>
      <c r="B20" s="1" t="s">
        <v>646</v>
      </c>
      <c r="C20" s="1" t="s">
        <v>655</v>
      </c>
      <c r="D20" s="1" t="s">
        <v>677</v>
      </c>
    </row>
    <row r="21" spans="1:4">
      <c r="A21" s="1" t="s">
        <v>634</v>
      </c>
      <c r="B21" s="1" t="s">
        <v>647</v>
      </c>
      <c r="C21" s="1" t="s">
        <v>655</v>
      </c>
      <c r="D21" s="1" t="s">
        <v>678</v>
      </c>
    </row>
    <row r="22" spans="1:4">
      <c r="A22" s="1" t="s">
        <v>634</v>
      </c>
      <c r="B22" s="1" t="s">
        <v>648</v>
      </c>
      <c r="C22" s="1" t="s">
        <v>656</v>
      </c>
      <c r="D22" s="1" t="s">
        <v>679</v>
      </c>
    </row>
    <row r="23" spans="1:4">
      <c r="A23" s="1" t="s">
        <v>634</v>
      </c>
      <c r="B23" s="1" t="s">
        <v>649</v>
      </c>
      <c r="C23" s="1" t="s">
        <v>655</v>
      </c>
      <c r="D23" s="1" t="s">
        <v>680</v>
      </c>
    </row>
    <row r="24" spans="1:4">
      <c r="A24" s="1" t="s">
        <v>634</v>
      </c>
      <c r="B24" s="1" t="s">
        <v>650</v>
      </c>
      <c r="C24" s="1" t="s">
        <v>655</v>
      </c>
      <c r="D24" s="1" t="s">
        <v>681</v>
      </c>
    </row>
    <row r="25" spans="1:4">
      <c r="A25" s="1" t="s">
        <v>634</v>
      </c>
      <c r="B25" s="1" t="s">
        <v>651</v>
      </c>
      <c r="C25" s="1" t="s">
        <v>655</v>
      </c>
      <c r="D25" s="1" t="s">
        <v>682</v>
      </c>
    </row>
    <row r="26" spans="1:4">
      <c r="A26" s="1" t="s">
        <v>634</v>
      </c>
      <c r="B26" s="1" t="s">
        <v>652</v>
      </c>
      <c r="C26" s="1" t="s">
        <v>655</v>
      </c>
      <c r="D26" s="1" t="s">
        <v>683</v>
      </c>
    </row>
  </sheetData>
  <autoFilter ref="A1:D26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style="1" customWidth="1"/>
    <col min="2" max="2" width="60.7109375" style="1" customWidth="1"/>
  </cols>
  <sheetData>
    <row r="1" spans="1:2">
      <c r="A1" s="2" t="s">
        <v>41</v>
      </c>
      <c r="B1" s="2" t="s">
        <v>42</v>
      </c>
    </row>
    <row r="2" spans="1:2">
      <c r="A2" s="1" t="s">
        <v>688</v>
      </c>
      <c r="B2" s="1" t="s">
        <v>694</v>
      </c>
    </row>
    <row r="3" spans="1:2">
      <c r="A3" s="1" t="s">
        <v>689</v>
      </c>
      <c r="B3" s="1" t="s">
        <v>695</v>
      </c>
    </row>
    <row r="4" spans="1:2">
      <c r="A4" s="1" t="s">
        <v>690</v>
      </c>
      <c r="B4" s="1" t="s">
        <v>696</v>
      </c>
    </row>
    <row r="5" spans="1:2">
      <c r="A5" s="1" t="s">
        <v>691</v>
      </c>
      <c r="B5" s="1" t="s">
        <v>697</v>
      </c>
    </row>
    <row r="6" spans="1:2">
      <c r="A6" s="1" t="s">
        <v>692</v>
      </c>
      <c r="B6" s="1" t="s">
        <v>698</v>
      </c>
    </row>
    <row r="7" spans="1:2">
      <c r="A7" s="1" t="s">
        <v>693</v>
      </c>
      <c r="B7" s="1" t="s">
        <v>699</v>
      </c>
    </row>
  </sheetData>
  <autoFilter ref="A1:B7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style="1" customWidth="1"/>
    <col min="2" max="2" width="14.7109375" style="1" customWidth="1"/>
    <col min="3" max="3" width="60.7109375" style="1" customWidth="1"/>
  </cols>
  <sheetData>
    <row r="1" spans="1:3">
      <c r="A1" s="2" t="s">
        <v>747</v>
      </c>
      <c r="B1" s="2" t="s">
        <v>748</v>
      </c>
      <c r="C1" s="2" t="s">
        <v>749</v>
      </c>
    </row>
    <row r="2" spans="1:3">
      <c r="A2" s="1" t="s">
        <v>635</v>
      </c>
      <c r="B2" s="1" t="s">
        <v>719</v>
      </c>
      <c r="C2" s="1" t="s">
        <v>725</v>
      </c>
    </row>
    <row r="3" spans="1:3">
      <c r="A3" s="1" t="s">
        <v>700</v>
      </c>
      <c r="B3" s="1" t="s">
        <v>719</v>
      </c>
      <c r="C3" s="1" t="s">
        <v>726</v>
      </c>
    </row>
    <row r="4" spans="1:3">
      <c r="A4" s="1" t="s">
        <v>701</v>
      </c>
      <c r="B4" s="1" t="s">
        <v>719</v>
      </c>
      <c r="C4" s="1" t="s">
        <v>727</v>
      </c>
    </row>
    <row r="5" spans="1:3">
      <c r="A5" s="1" t="s">
        <v>702</v>
      </c>
      <c r="B5" s="1" t="s">
        <v>720</v>
      </c>
      <c r="C5" s="1" t="s">
        <v>728</v>
      </c>
    </row>
    <row r="6" spans="1:3">
      <c r="A6" s="1" t="s">
        <v>703</v>
      </c>
      <c r="B6" s="1" t="s">
        <v>720</v>
      </c>
      <c r="C6" s="1" t="s">
        <v>729</v>
      </c>
    </row>
    <row r="7" spans="1:3">
      <c r="A7" s="1" t="s">
        <v>704</v>
      </c>
      <c r="B7" s="1" t="s">
        <v>720</v>
      </c>
      <c r="C7" s="1" t="s">
        <v>730</v>
      </c>
    </row>
    <row r="8" spans="1:3">
      <c r="A8" s="1" t="s">
        <v>705</v>
      </c>
      <c r="B8" s="1" t="s">
        <v>720</v>
      </c>
      <c r="C8" s="1" t="s">
        <v>731</v>
      </c>
    </row>
    <row r="9" spans="1:3">
      <c r="A9" s="1" t="s">
        <v>706</v>
      </c>
      <c r="B9" s="1" t="s">
        <v>720</v>
      </c>
      <c r="C9" s="1" t="s">
        <v>732</v>
      </c>
    </row>
    <row r="10" spans="1:3">
      <c r="A10" s="1" t="s">
        <v>649</v>
      </c>
      <c r="B10" s="1" t="s">
        <v>720</v>
      </c>
      <c r="C10" s="1" t="s">
        <v>733</v>
      </c>
    </row>
    <row r="11" spans="1:3">
      <c r="A11" s="1" t="s">
        <v>707</v>
      </c>
      <c r="B11" s="1" t="s">
        <v>720</v>
      </c>
      <c r="C11" s="1" t="s">
        <v>734</v>
      </c>
    </row>
    <row r="12" spans="1:3">
      <c r="A12" s="1" t="s">
        <v>708</v>
      </c>
      <c r="B12" s="1" t="s">
        <v>721</v>
      </c>
      <c r="C12" s="1" t="s">
        <v>735</v>
      </c>
    </row>
    <row r="13" spans="1:3">
      <c r="A13" s="1" t="s">
        <v>652</v>
      </c>
      <c r="B13" s="1" t="s">
        <v>721</v>
      </c>
      <c r="C13" s="1" t="s">
        <v>736</v>
      </c>
    </row>
    <row r="14" spans="1:3">
      <c r="A14" s="1" t="s">
        <v>709</v>
      </c>
      <c r="B14" s="1" t="s">
        <v>722</v>
      </c>
      <c r="C14" s="1" t="s">
        <v>737</v>
      </c>
    </row>
    <row r="15" spans="1:3">
      <c r="A15" s="1" t="s">
        <v>710</v>
      </c>
      <c r="B15" s="1" t="s">
        <v>722</v>
      </c>
      <c r="C15" s="1" t="s">
        <v>738</v>
      </c>
    </row>
    <row r="16" spans="1:3">
      <c r="A16" s="1" t="s">
        <v>711</v>
      </c>
      <c r="B16" s="1" t="s">
        <v>723</v>
      </c>
      <c r="C16" s="1" t="s">
        <v>739</v>
      </c>
    </row>
    <row r="17" spans="1:3">
      <c r="A17" s="1" t="s">
        <v>712</v>
      </c>
      <c r="B17" s="1" t="s">
        <v>723</v>
      </c>
      <c r="C17" s="1" t="s">
        <v>740</v>
      </c>
    </row>
    <row r="18" spans="1:3">
      <c r="A18" s="1" t="s">
        <v>713</v>
      </c>
      <c r="B18" s="1" t="s">
        <v>723</v>
      </c>
      <c r="C18" s="1" t="s">
        <v>741</v>
      </c>
    </row>
    <row r="19" spans="1:3">
      <c r="A19" s="1" t="s">
        <v>714</v>
      </c>
      <c r="B19" s="1" t="s">
        <v>723</v>
      </c>
      <c r="C19" s="1" t="s">
        <v>742</v>
      </c>
    </row>
    <row r="20" spans="1:3">
      <c r="A20" s="1" t="s">
        <v>715</v>
      </c>
      <c r="B20" s="1" t="s">
        <v>723</v>
      </c>
      <c r="C20" s="1" t="s">
        <v>743</v>
      </c>
    </row>
    <row r="21" spans="1:3">
      <c r="A21" s="1" t="s">
        <v>716</v>
      </c>
      <c r="B21" s="1" t="s">
        <v>724</v>
      </c>
      <c r="C21" s="1" t="s">
        <v>744</v>
      </c>
    </row>
    <row r="22" spans="1:3">
      <c r="A22" s="1" t="s">
        <v>717</v>
      </c>
      <c r="B22" s="1" t="s">
        <v>724</v>
      </c>
      <c r="C22" s="1" t="s">
        <v>745</v>
      </c>
    </row>
    <row r="23" spans="1:3">
      <c r="A23" s="1" t="s">
        <v>718</v>
      </c>
      <c r="B23" s="1" t="s">
        <v>724</v>
      </c>
      <c r="C23" s="1" t="s">
        <v>746</v>
      </c>
    </row>
  </sheetData>
  <autoFilter ref="A1:C23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style="1" customWidth="1"/>
    <col min="2" max="2" width="48.7109375" style="1" customWidth="1"/>
    <col min="3" max="3" width="29.7109375" style="1" customWidth="1"/>
    <col min="4" max="5" width="60.7109375" style="1" customWidth="1"/>
  </cols>
  <sheetData>
    <row r="1" spans="1:5">
      <c r="A1" s="2" t="s">
        <v>789</v>
      </c>
      <c r="B1" s="2" t="s">
        <v>790</v>
      </c>
      <c r="C1" s="2" t="s">
        <v>791</v>
      </c>
      <c r="D1" s="2" t="s">
        <v>792</v>
      </c>
      <c r="E1" s="2" t="s">
        <v>793</v>
      </c>
    </row>
    <row r="2" spans="1:5">
      <c r="A2" s="1" t="s">
        <v>640</v>
      </c>
      <c r="B2" s="1" t="s">
        <v>757</v>
      </c>
      <c r="C2" s="1" t="s">
        <v>766</v>
      </c>
      <c r="D2" s="1" t="s">
        <v>770</v>
      </c>
      <c r="E2" s="1" t="s">
        <v>780</v>
      </c>
    </row>
    <row r="3" spans="1:5">
      <c r="A3" s="1" t="s">
        <v>750</v>
      </c>
      <c r="B3" s="1" t="s">
        <v>758</v>
      </c>
      <c r="C3" s="1" t="s">
        <v>633</v>
      </c>
      <c r="D3" s="1" t="s">
        <v>771</v>
      </c>
      <c r="E3" s="1" t="s">
        <v>781</v>
      </c>
    </row>
    <row r="4" spans="1:5">
      <c r="A4" s="1" t="s">
        <v>751</v>
      </c>
      <c r="B4" s="1" t="s">
        <v>759</v>
      </c>
      <c r="C4" s="1" t="s">
        <v>767</v>
      </c>
      <c r="D4" s="1" t="s">
        <v>772</v>
      </c>
      <c r="E4" s="1" t="s">
        <v>782</v>
      </c>
    </row>
    <row r="5" spans="1:5">
      <c r="A5" s="1" t="s">
        <v>703</v>
      </c>
      <c r="B5" s="1" t="s">
        <v>760</v>
      </c>
      <c r="C5" s="1" t="s">
        <v>767</v>
      </c>
      <c r="D5" s="1" t="s">
        <v>773</v>
      </c>
      <c r="E5" s="1" t="s">
        <v>783</v>
      </c>
    </row>
    <row r="6" spans="1:5">
      <c r="A6" s="1" t="s">
        <v>752</v>
      </c>
      <c r="B6" s="1" t="s">
        <v>761</v>
      </c>
      <c r="C6" s="1" t="s">
        <v>767</v>
      </c>
      <c r="D6" s="1" t="s">
        <v>774</v>
      </c>
    </row>
    <row r="7" spans="1:5">
      <c r="A7" s="1" t="s">
        <v>753</v>
      </c>
      <c r="B7" s="1" t="s">
        <v>762</v>
      </c>
      <c r="C7" s="1" t="s">
        <v>767</v>
      </c>
      <c r="D7" s="1" t="s">
        <v>775</v>
      </c>
      <c r="E7" s="1" t="s">
        <v>784</v>
      </c>
    </row>
    <row r="8" spans="1:5">
      <c r="A8" s="1" t="s">
        <v>652</v>
      </c>
      <c r="B8" s="1" t="s">
        <v>683</v>
      </c>
      <c r="C8" s="1" t="s">
        <v>767</v>
      </c>
      <c r="D8" s="1" t="s">
        <v>776</v>
      </c>
      <c r="E8" s="1" t="s">
        <v>785</v>
      </c>
    </row>
    <row r="9" spans="1:5">
      <c r="A9" s="1" t="s">
        <v>754</v>
      </c>
      <c r="B9" s="1" t="s">
        <v>763</v>
      </c>
      <c r="C9" s="1" t="s">
        <v>768</v>
      </c>
      <c r="D9" s="1" t="s">
        <v>777</v>
      </c>
      <c r="E9" s="1" t="s">
        <v>786</v>
      </c>
    </row>
    <row r="10" spans="1:5">
      <c r="A10" s="1" t="s">
        <v>755</v>
      </c>
      <c r="B10" s="1" t="s">
        <v>764</v>
      </c>
      <c r="C10" s="1" t="s">
        <v>768</v>
      </c>
      <c r="D10" s="1" t="s">
        <v>778</v>
      </c>
      <c r="E10" s="1" t="s">
        <v>787</v>
      </c>
    </row>
    <row r="11" spans="1:5">
      <c r="A11" s="1" t="s">
        <v>756</v>
      </c>
      <c r="B11" s="1" t="s">
        <v>765</v>
      </c>
      <c r="C11" s="1" t="s">
        <v>769</v>
      </c>
      <c r="D11" s="1" t="s">
        <v>779</v>
      </c>
      <c r="E11" s="1" t="s">
        <v>788</v>
      </c>
    </row>
  </sheetData>
  <autoFilter ref="A1:E1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19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3.7109375" style="1" customWidth="1"/>
    <col min="2" max="2" width="17.7109375" style="1" customWidth="1"/>
    <col min="3" max="3" width="14.7109375" style="1" customWidth="1"/>
    <col min="4" max="4" width="60.7109375" style="1" customWidth="1"/>
  </cols>
  <sheetData>
    <row r="1" spans="1:4">
      <c r="A1" s="2" t="s">
        <v>246</v>
      </c>
      <c r="B1" s="2" t="s">
        <v>1447</v>
      </c>
      <c r="C1" s="2" t="s">
        <v>1448</v>
      </c>
      <c r="D1" s="2" t="s">
        <v>1449</v>
      </c>
    </row>
    <row r="2" spans="1:4">
      <c r="A2" s="1" t="s">
        <v>231</v>
      </c>
      <c r="B2" s="1" t="s">
        <v>794</v>
      </c>
      <c r="C2" s="1" t="s">
        <v>799</v>
      </c>
      <c r="D2" s="1" t="s">
        <v>801</v>
      </c>
    </row>
    <row r="3" spans="1:4">
      <c r="A3" s="1" t="s">
        <v>231</v>
      </c>
      <c r="B3" s="1" t="s">
        <v>795</v>
      </c>
      <c r="C3" s="1" t="s">
        <v>799</v>
      </c>
      <c r="D3" s="1" t="s">
        <v>802</v>
      </c>
    </row>
    <row r="4" spans="1:4">
      <c r="A4" s="1" t="s">
        <v>231</v>
      </c>
      <c r="B4" s="1" t="s">
        <v>796</v>
      </c>
      <c r="C4" s="1" t="s">
        <v>799</v>
      </c>
    </row>
    <row r="5" spans="1:4">
      <c r="A5" s="1" t="s">
        <v>231</v>
      </c>
      <c r="B5" s="1" t="s">
        <v>797</v>
      </c>
      <c r="C5" s="1" t="s">
        <v>799</v>
      </c>
      <c r="D5" s="1" t="s">
        <v>803</v>
      </c>
    </row>
    <row r="6" spans="1:4">
      <c r="A6" s="1" t="s">
        <v>231</v>
      </c>
      <c r="B6" s="1" t="s">
        <v>798</v>
      </c>
      <c r="C6" s="1" t="s">
        <v>799</v>
      </c>
      <c r="D6" s="1" t="s">
        <v>804</v>
      </c>
    </row>
    <row r="7" spans="1:4">
      <c r="A7" s="1" t="s">
        <v>232</v>
      </c>
      <c r="B7" s="1" t="s">
        <v>794</v>
      </c>
      <c r="C7" s="1" t="s">
        <v>799</v>
      </c>
      <c r="D7" s="1" t="s">
        <v>805</v>
      </c>
    </row>
    <row r="8" spans="1:4">
      <c r="A8" s="1" t="s">
        <v>232</v>
      </c>
      <c r="B8" s="1" t="s">
        <v>795</v>
      </c>
      <c r="C8" s="1" t="s">
        <v>799</v>
      </c>
      <c r="D8" s="1" t="s">
        <v>802</v>
      </c>
    </row>
    <row r="9" spans="1:4">
      <c r="A9" s="1" t="s">
        <v>232</v>
      </c>
      <c r="B9" s="1" t="s">
        <v>796</v>
      </c>
      <c r="C9" s="1" t="s">
        <v>799</v>
      </c>
    </row>
    <row r="10" spans="1:4">
      <c r="A10" s="1" t="s">
        <v>232</v>
      </c>
      <c r="B10" s="1" t="s">
        <v>797</v>
      </c>
      <c r="C10" s="1" t="s">
        <v>799</v>
      </c>
      <c r="D10" s="1" t="s">
        <v>803</v>
      </c>
    </row>
    <row r="11" spans="1:4">
      <c r="A11" s="1" t="s">
        <v>232</v>
      </c>
      <c r="B11" s="1" t="s">
        <v>798</v>
      </c>
      <c r="C11" s="1" t="s">
        <v>799</v>
      </c>
      <c r="D11" s="1" t="s">
        <v>804</v>
      </c>
    </row>
    <row r="12" spans="1:4">
      <c r="A12" s="1" t="s">
        <v>233</v>
      </c>
      <c r="B12" s="1" t="s">
        <v>794</v>
      </c>
      <c r="C12" s="1" t="s">
        <v>799</v>
      </c>
      <c r="D12" s="1" t="s">
        <v>806</v>
      </c>
    </row>
    <row r="13" spans="1:4">
      <c r="A13" s="1" t="s">
        <v>233</v>
      </c>
      <c r="B13" s="1" t="s">
        <v>795</v>
      </c>
      <c r="C13" s="1" t="s">
        <v>799</v>
      </c>
      <c r="D13" s="1" t="s">
        <v>802</v>
      </c>
    </row>
    <row r="14" spans="1:4">
      <c r="A14" s="1" t="s">
        <v>233</v>
      </c>
      <c r="B14" s="1" t="s">
        <v>796</v>
      </c>
      <c r="C14" s="1" t="s">
        <v>799</v>
      </c>
    </row>
    <row r="15" spans="1:4">
      <c r="A15" s="1" t="s">
        <v>233</v>
      </c>
      <c r="B15" s="1" t="s">
        <v>797</v>
      </c>
      <c r="C15" s="1" t="s">
        <v>799</v>
      </c>
      <c r="D15" s="1" t="s">
        <v>803</v>
      </c>
    </row>
    <row r="16" spans="1:4">
      <c r="A16" s="1" t="s">
        <v>233</v>
      </c>
      <c r="B16" s="1" t="s">
        <v>798</v>
      </c>
      <c r="C16" s="1" t="s">
        <v>799</v>
      </c>
      <c r="D16" s="1" t="s">
        <v>807</v>
      </c>
    </row>
    <row r="17" spans="1:4">
      <c r="A17" s="1" t="s">
        <v>234</v>
      </c>
      <c r="B17" s="1" t="s">
        <v>794</v>
      </c>
      <c r="C17" s="1" t="s">
        <v>799</v>
      </c>
      <c r="D17" s="1" t="s">
        <v>808</v>
      </c>
    </row>
    <row r="18" spans="1:4">
      <c r="A18" s="1" t="s">
        <v>234</v>
      </c>
      <c r="B18" s="1" t="s">
        <v>795</v>
      </c>
      <c r="C18" s="1" t="s">
        <v>799</v>
      </c>
      <c r="D18" s="1" t="s">
        <v>802</v>
      </c>
    </row>
    <row r="19" spans="1:4">
      <c r="A19" s="1" t="s">
        <v>234</v>
      </c>
      <c r="B19" s="1" t="s">
        <v>796</v>
      </c>
      <c r="C19" s="1" t="s">
        <v>799</v>
      </c>
    </row>
    <row r="20" spans="1:4">
      <c r="A20" s="1" t="s">
        <v>234</v>
      </c>
      <c r="B20" s="1" t="s">
        <v>797</v>
      </c>
      <c r="C20" s="1" t="s">
        <v>799</v>
      </c>
      <c r="D20" s="1" t="s">
        <v>803</v>
      </c>
    </row>
    <row r="21" spans="1:4">
      <c r="A21" s="1" t="s">
        <v>234</v>
      </c>
      <c r="B21" s="1" t="s">
        <v>798</v>
      </c>
      <c r="C21" s="1" t="s">
        <v>799</v>
      </c>
      <c r="D21" s="1" t="s">
        <v>809</v>
      </c>
    </row>
    <row r="22" spans="1:4">
      <c r="A22" s="1" t="s">
        <v>235</v>
      </c>
      <c r="B22" s="1" t="s">
        <v>794</v>
      </c>
      <c r="C22" s="1" t="s">
        <v>799</v>
      </c>
      <c r="D22" s="1" t="s">
        <v>806</v>
      </c>
    </row>
    <row r="23" spans="1:4">
      <c r="A23" s="1" t="s">
        <v>235</v>
      </c>
      <c r="B23" s="1" t="s">
        <v>795</v>
      </c>
      <c r="C23" s="1" t="s">
        <v>799</v>
      </c>
      <c r="D23" s="1" t="s">
        <v>802</v>
      </c>
    </row>
    <row r="24" spans="1:4">
      <c r="A24" s="1" t="s">
        <v>235</v>
      </c>
      <c r="B24" s="1" t="s">
        <v>796</v>
      </c>
      <c r="C24" s="1" t="s">
        <v>799</v>
      </c>
    </row>
    <row r="25" spans="1:4">
      <c r="A25" s="1" t="s">
        <v>235</v>
      </c>
      <c r="B25" s="1" t="s">
        <v>797</v>
      </c>
      <c r="C25" s="1" t="s">
        <v>799</v>
      </c>
      <c r="D25" s="1" t="s">
        <v>803</v>
      </c>
    </row>
    <row r="26" spans="1:4">
      <c r="A26" s="1" t="s">
        <v>235</v>
      </c>
      <c r="B26" s="1" t="s">
        <v>798</v>
      </c>
      <c r="C26" s="1" t="s">
        <v>799</v>
      </c>
      <c r="D26" s="1" t="s">
        <v>807</v>
      </c>
    </row>
    <row r="27" spans="1:4">
      <c r="A27" s="1" t="s">
        <v>236</v>
      </c>
      <c r="B27" s="1" t="s">
        <v>794</v>
      </c>
      <c r="C27" s="1" t="s">
        <v>799</v>
      </c>
      <c r="D27" s="1" t="s">
        <v>810</v>
      </c>
    </row>
    <row r="28" spans="1:4">
      <c r="A28" s="1" t="s">
        <v>236</v>
      </c>
      <c r="B28" s="1" t="s">
        <v>795</v>
      </c>
      <c r="C28" s="1" t="s">
        <v>799</v>
      </c>
      <c r="D28" s="1" t="s">
        <v>802</v>
      </c>
    </row>
    <row r="29" spans="1:4">
      <c r="A29" s="1" t="s">
        <v>236</v>
      </c>
      <c r="B29" s="1" t="s">
        <v>796</v>
      </c>
      <c r="C29" s="1" t="s">
        <v>799</v>
      </c>
    </row>
    <row r="30" spans="1:4">
      <c r="A30" s="1" t="s">
        <v>236</v>
      </c>
      <c r="B30" s="1" t="s">
        <v>797</v>
      </c>
      <c r="C30" s="1" t="s">
        <v>799</v>
      </c>
      <c r="D30" s="1" t="s">
        <v>803</v>
      </c>
    </row>
    <row r="31" spans="1:4">
      <c r="A31" s="1" t="s">
        <v>236</v>
      </c>
      <c r="B31" s="1" t="s">
        <v>798</v>
      </c>
      <c r="C31" s="1" t="s">
        <v>799</v>
      </c>
      <c r="D31" s="1" t="s">
        <v>811</v>
      </c>
    </row>
    <row r="32" spans="1:4">
      <c r="A32" s="1" t="s">
        <v>252</v>
      </c>
      <c r="B32" s="1" t="s">
        <v>794</v>
      </c>
      <c r="C32" s="1" t="s">
        <v>799</v>
      </c>
      <c r="D32" s="1" t="s">
        <v>812</v>
      </c>
    </row>
    <row r="33" spans="1:4">
      <c r="A33" s="1" t="s">
        <v>252</v>
      </c>
      <c r="B33" s="1" t="s">
        <v>795</v>
      </c>
      <c r="C33" s="1" t="s">
        <v>799</v>
      </c>
      <c r="D33" s="1" t="s">
        <v>802</v>
      </c>
    </row>
    <row r="34" spans="1:4">
      <c r="A34" s="1" t="s">
        <v>252</v>
      </c>
      <c r="B34" s="1" t="s">
        <v>796</v>
      </c>
      <c r="C34" s="1" t="s">
        <v>799</v>
      </c>
    </row>
    <row r="35" spans="1:4">
      <c r="A35" s="1" t="s">
        <v>252</v>
      </c>
      <c r="B35" s="1" t="s">
        <v>797</v>
      </c>
      <c r="C35" s="1" t="s">
        <v>799</v>
      </c>
      <c r="D35" s="1" t="s">
        <v>813</v>
      </c>
    </row>
    <row r="36" spans="1:4">
      <c r="A36" s="1" t="s">
        <v>252</v>
      </c>
      <c r="B36" s="1" t="s">
        <v>798</v>
      </c>
      <c r="C36" s="1" t="s">
        <v>799</v>
      </c>
      <c r="D36" s="1" t="s">
        <v>811</v>
      </c>
    </row>
    <row r="37" spans="1:4">
      <c r="A37" s="1" t="s">
        <v>253</v>
      </c>
      <c r="B37" s="1" t="s">
        <v>794</v>
      </c>
      <c r="C37" s="1" t="s">
        <v>799</v>
      </c>
      <c r="D37" s="1" t="s">
        <v>814</v>
      </c>
    </row>
    <row r="38" spans="1:4">
      <c r="A38" s="1" t="s">
        <v>253</v>
      </c>
      <c r="B38" s="1" t="s">
        <v>795</v>
      </c>
      <c r="C38" s="1" t="s">
        <v>799</v>
      </c>
      <c r="D38" s="1" t="s">
        <v>802</v>
      </c>
    </row>
    <row r="39" spans="1:4">
      <c r="A39" s="1" t="s">
        <v>253</v>
      </c>
      <c r="B39" s="1" t="s">
        <v>796</v>
      </c>
      <c r="C39" s="1" t="s">
        <v>799</v>
      </c>
    </row>
    <row r="40" spans="1:4">
      <c r="A40" s="1" t="s">
        <v>253</v>
      </c>
      <c r="B40" s="1" t="s">
        <v>797</v>
      </c>
      <c r="C40" s="1" t="s">
        <v>799</v>
      </c>
      <c r="D40" s="1" t="s">
        <v>815</v>
      </c>
    </row>
    <row r="41" spans="1:4">
      <c r="A41" s="1" t="s">
        <v>253</v>
      </c>
      <c r="B41" s="1" t="s">
        <v>798</v>
      </c>
      <c r="C41" s="1" t="s">
        <v>799</v>
      </c>
      <c r="D41" s="1" t="s">
        <v>809</v>
      </c>
    </row>
    <row r="42" spans="1:4">
      <c r="A42" s="1" t="s">
        <v>254</v>
      </c>
      <c r="B42" s="1" t="s">
        <v>794</v>
      </c>
      <c r="C42" s="1" t="s">
        <v>799</v>
      </c>
      <c r="D42" s="1" t="s">
        <v>812</v>
      </c>
    </row>
    <row r="43" spans="1:4">
      <c r="A43" s="1" t="s">
        <v>254</v>
      </c>
      <c r="B43" s="1" t="s">
        <v>795</v>
      </c>
      <c r="C43" s="1" t="s">
        <v>799</v>
      </c>
      <c r="D43" s="1" t="s">
        <v>802</v>
      </c>
    </row>
    <row r="44" spans="1:4">
      <c r="A44" s="1" t="s">
        <v>254</v>
      </c>
      <c r="B44" s="1" t="s">
        <v>796</v>
      </c>
      <c r="C44" s="1" t="s">
        <v>799</v>
      </c>
    </row>
    <row r="45" spans="1:4">
      <c r="A45" s="1" t="s">
        <v>254</v>
      </c>
      <c r="B45" s="1" t="s">
        <v>797</v>
      </c>
      <c r="C45" s="1" t="s">
        <v>800</v>
      </c>
      <c r="D45" s="1" t="s">
        <v>816</v>
      </c>
    </row>
    <row r="46" spans="1:4">
      <c r="A46" s="1" t="s">
        <v>254</v>
      </c>
      <c r="B46" s="1" t="s">
        <v>798</v>
      </c>
      <c r="C46" s="1" t="s">
        <v>799</v>
      </c>
      <c r="D46" s="1" t="s">
        <v>811</v>
      </c>
    </row>
    <row r="47" spans="1:4">
      <c r="A47" s="1" t="s">
        <v>255</v>
      </c>
      <c r="B47" s="1" t="s">
        <v>794</v>
      </c>
      <c r="C47" s="1" t="s">
        <v>799</v>
      </c>
      <c r="D47" s="1" t="s">
        <v>817</v>
      </c>
    </row>
    <row r="48" spans="1:4">
      <c r="A48" s="1" t="s">
        <v>255</v>
      </c>
      <c r="B48" s="1" t="s">
        <v>795</v>
      </c>
      <c r="C48" s="1" t="s">
        <v>799</v>
      </c>
      <c r="D48" s="1" t="s">
        <v>802</v>
      </c>
    </row>
    <row r="49" spans="1:4">
      <c r="A49" s="1" t="s">
        <v>255</v>
      </c>
      <c r="B49" s="1" t="s">
        <v>796</v>
      </c>
      <c r="C49" s="1" t="s">
        <v>799</v>
      </c>
    </row>
    <row r="50" spans="1:4">
      <c r="A50" s="1" t="s">
        <v>255</v>
      </c>
      <c r="B50" s="1" t="s">
        <v>797</v>
      </c>
      <c r="C50" s="1" t="s">
        <v>799</v>
      </c>
      <c r="D50" s="1" t="s">
        <v>818</v>
      </c>
    </row>
    <row r="51" spans="1:4">
      <c r="A51" s="1" t="s">
        <v>255</v>
      </c>
      <c r="B51" s="1" t="s">
        <v>798</v>
      </c>
      <c r="C51" s="1" t="s">
        <v>799</v>
      </c>
      <c r="D51" s="1" t="s">
        <v>811</v>
      </c>
    </row>
    <row r="52" spans="1:4">
      <c r="A52" s="1" t="s">
        <v>256</v>
      </c>
      <c r="B52" s="1" t="s">
        <v>794</v>
      </c>
      <c r="C52" s="1" t="s">
        <v>799</v>
      </c>
      <c r="D52" s="1" t="s">
        <v>819</v>
      </c>
    </row>
    <row r="53" spans="1:4">
      <c r="A53" s="1" t="s">
        <v>256</v>
      </c>
      <c r="B53" s="1" t="s">
        <v>795</v>
      </c>
      <c r="C53" s="1" t="s">
        <v>799</v>
      </c>
      <c r="D53" s="1" t="s">
        <v>802</v>
      </c>
    </row>
    <row r="54" spans="1:4">
      <c r="A54" s="1" t="s">
        <v>256</v>
      </c>
      <c r="B54" s="1" t="s">
        <v>796</v>
      </c>
      <c r="C54" s="1" t="s">
        <v>799</v>
      </c>
    </row>
    <row r="55" spans="1:4">
      <c r="A55" s="1" t="s">
        <v>256</v>
      </c>
      <c r="B55" s="1" t="s">
        <v>797</v>
      </c>
      <c r="C55" s="1" t="s">
        <v>799</v>
      </c>
      <c r="D55" s="1" t="s">
        <v>820</v>
      </c>
    </row>
    <row r="56" spans="1:4">
      <c r="A56" s="1" t="s">
        <v>256</v>
      </c>
      <c r="B56" s="1" t="s">
        <v>798</v>
      </c>
      <c r="C56" s="1" t="s">
        <v>799</v>
      </c>
      <c r="D56" s="1" t="s">
        <v>821</v>
      </c>
    </row>
    <row r="57" spans="1:4">
      <c r="A57" s="1" t="s">
        <v>257</v>
      </c>
      <c r="B57" s="1" t="s">
        <v>794</v>
      </c>
      <c r="C57" s="1" t="s">
        <v>799</v>
      </c>
      <c r="D57" s="1" t="s">
        <v>822</v>
      </c>
    </row>
    <row r="58" spans="1:4">
      <c r="A58" s="1" t="s">
        <v>257</v>
      </c>
      <c r="B58" s="1" t="s">
        <v>795</v>
      </c>
      <c r="C58" s="1" t="s">
        <v>799</v>
      </c>
      <c r="D58" s="1" t="s">
        <v>802</v>
      </c>
    </row>
    <row r="59" spans="1:4">
      <c r="A59" s="1" t="s">
        <v>257</v>
      </c>
      <c r="B59" s="1" t="s">
        <v>796</v>
      </c>
      <c r="C59" s="1" t="s">
        <v>799</v>
      </c>
    </row>
    <row r="60" spans="1:4">
      <c r="A60" s="1" t="s">
        <v>257</v>
      </c>
      <c r="B60" s="1" t="s">
        <v>797</v>
      </c>
      <c r="C60" s="1" t="s">
        <v>799</v>
      </c>
      <c r="D60" s="1" t="s">
        <v>823</v>
      </c>
    </row>
    <row r="61" spans="1:4">
      <c r="A61" s="1" t="s">
        <v>257</v>
      </c>
      <c r="B61" s="1" t="s">
        <v>798</v>
      </c>
      <c r="C61" s="1" t="s">
        <v>799</v>
      </c>
      <c r="D61" s="1" t="s">
        <v>804</v>
      </c>
    </row>
    <row r="62" spans="1:4">
      <c r="A62" s="1" t="s">
        <v>258</v>
      </c>
      <c r="B62" s="1" t="s">
        <v>794</v>
      </c>
      <c r="C62" s="1" t="s">
        <v>799</v>
      </c>
      <c r="D62" s="1" t="s">
        <v>824</v>
      </c>
    </row>
    <row r="63" spans="1:4">
      <c r="A63" s="1" t="s">
        <v>258</v>
      </c>
      <c r="B63" s="1" t="s">
        <v>795</v>
      </c>
      <c r="C63" s="1" t="s">
        <v>799</v>
      </c>
      <c r="D63" s="1" t="s">
        <v>802</v>
      </c>
    </row>
    <row r="64" spans="1:4">
      <c r="A64" s="1" t="s">
        <v>258</v>
      </c>
      <c r="B64" s="1" t="s">
        <v>796</v>
      </c>
      <c r="C64" s="1" t="s">
        <v>799</v>
      </c>
    </row>
    <row r="65" spans="1:4">
      <c r="A65" s="1" t="s">
        <v>258</v>
      </c>
      <c r="B65" s="1" t="s">
        <v>797</v>
      </c>
      <c r="C65" s="1" t="s">
        <v>799</v>
      </c>
      <c r="D65" s="1" t="s">
        <v>825</v>
      </c>
    </row>
    <row r="66" spans="1:4">
      <c r="A66" s="1" t="s">
        <v>258</v>
      </c>
      <c r="B66" s="1" t="s">
        <v>798</v>
      </c>
      <c r="C66" s="1" t="s">
        <v>799</v>
      </c>
      <c r="D66" s="1" t="s">
        <v>804</v>
      </c>
    </row>
    <row r="67" spans="1:4">
      <c r="A67" s="1" t="s">
        <v>259</v>
      </c>
      <c r="B67" s="1" t="s">
        <v>794</v>
      </c>
      <c r="C67" s="1" t="s">
        <v>799</v>
      </c>
      <c r="D67" s="1" t="s">
        <v>826</v>
      </c>
    </row>
    <row r="68" spans="1:4">
      <c r="A68" s="1" t="s">
        <v>259</v>
      </c>
      <c r="B68" s="1" t="s">
        <v>795</v>
      </c>
      <c r="C68" s="1" t="s">
        <v>799</v>
      </c>
      <c r="D68" s="1" t="s">
        <v>802</v>
      </c>
    </row>
    <row r="69" spans="1:4">
      <c r="A69" s="1" t="s">
        <v>259</v>
      </c>
      <c r="B69" s="1" t="s">
        <v>796</v>
      </c>
      <c r="C69" s="1" t="s">
        <v>799</v>
      </c>
    </row>
    <row r="70" spans="1:4">
      <c r="A70" s="1" t="s">
        <v>259</v>
      </c>
      <c r="B70" s="1" t="s">
        <v>797</v>
      </c>
      <c r="C70" s="1" t="s">
        <v>799</v>
      </c>
      <c r="D70" s="1" t="s">
        <v>827</v>
      </c>
    </row>
    <row r="71" spans="1:4">
      <c r="A71" s="1" t="s">
        <v>259</v>
      </c>
      <c r="B71" s="1" t="s">
        <v>798</v>
      </c>
      <c r="C71" s="1" t="s">
        <v>799</v>
      </c>
      <c r="D71" s="1" t="s">
        <v>828</v>
      </c>
    </row>
    <row r="72" spans="1:4">
      <c r="A72" s="1" t="s">
        <v>260</v>
      </c>
      <c r="B72" s="1" t="s">
        <v>794</v>
      </c>
      <c r="C72" s="1" t="s">
        <v>799</v>
      </c>
      <c r="D72" s="1" t="s">
        <v>829</v>
      </c>
    </row>
    <row r="73" spans="1:4">
      <c r="A73" s="1" t="s">
        <v>260</v>
      </c>
      <c r="B73" s="1" t="s">
        <v>795</v>
      </c>
      <c r="C73" s="1" t="s">
        <v>799</v>
      </c>
      <c r="D73" s="1" t="s">
        <v>802</v>
      </c>
    </row>
    <row r="74" spans="1:4">
      <c r="A74" s="1" t="s">
        <v>260</v>
      </c>
      <c r="B74" s="1" t="s">
        <v>796</v>
      </c>
      <c r="C74" s="1" t="s">
        <v>799</v>
      </c>
    </row>
    <row r="75" spans="1:4">
      <c r="A75" s="1" t="s">
        <v>260</v>
      </c>
      <c r="B75" s="1" t="s">
        <v>797</v>
      </c>
      <c r="C75" s="1" t="s">
        <v>799</v>
      </c>
      <c r="D75" s="1" t="s">
        <v>830</v>
      </c>
    </row>
    <row r="76" spans="1:4">
      <c r="A76" s="1" t="s">
        <v>260</v>
      </c>
      <c r="B76" s="1" t="s">
        <v>798</v>
      </c>
      <c r="C76" s="1" t="s">
        <v>799</v>
      </c>
      <c r="D76" s="1" t="s">
        <v>811</v>
      </c>
    </row>
    <row r="77" spans="1:4">
      <c r="A77" s="1" t="s">
        <v>261</v>
      </c>
      <c r="B77" s="1" t="s">
        <v>794</v>
      </c>
      <c r="C77" s="1" t="s">
        <v>799</v>
      </c>
      <c r="D77" s="1" t="s">
        <v>831</v>
      </c>
    </row>
    <row r="78" spans="1:4">
      <c r="A78" s="1" t="s">
        <v>261</v>
      </c>
      <c r="B78" s="1" t="s">
        <v>795</v>
      </c>
      <c r="C78" s="1" t="s">
        <v>799</v>
      </c>
      <c r="D78" s="1" t="s">
        <v>802</v>
      </c>
    </row>
    <row r="79" spans="1:4">
      <c r="A79" s="1" t="s">
        <v>261</v>
      </c>
      <c r="B79" s="1" t="s">
        <v>796</v>
      </c>
      <c r="C79" s="1" t="s">
        <v>799</v>
      </c>
    </row>
    <row r="80" spans="1:4">
      <c r="A80" s="1" t="s">
        <v>261</v>
      </c>
      <c r="B80" s="1" t="s">
        <v>797</v>
      </c>
      <c r="C80" s="1" t="s">
        <v>799</v>
      </c>
      <c r="D80" s="1" t="s">
        <v>832</v>
      </c>
    </row>
    <row r="81" spans="1:4">
      <c r="A81" s="1" t="s">
        <v>261</v>
      </c>
      <c r="B81" s="1" t="s">
        <v>798</v>
      </c>
      <c r="C81" s="1" t="s">
        <v>799</v>
      </c>
      <c r="D81" s="1" t="s">
        <v>811</v>
      </c>
    </row>
    <row r="82" spans="1:4">
      <c r="A82" s="1" t="s">
        <v>262</v>
      </c>
      <c r="B82" s="1" t="s">
        <v>794</v>
      </c>
      <c r="C82" s="1" t="s">
        <v>799</v>
      </c>
      <c r="D82" s="1" t="s">
        <v>833</v>
      </c>
    </row>
    <row r="83" spans="1:4">
      <c r="A83" s="1" t="s">
        <v>262</v>
      </c>
      <c r="B83" s="1" t="s">
        <v>795</v>
      </c>
      <c r="C83" s="1" t="s">
        <v>799</v>
      </c>
      <c r="D83" s="1" t="s">
        <v>802</v>
      </c>
    </row>
    <row r="84" spans="1:4">
      <c r="A84" s="1" t="s">
        <v>262</v>
      </c>
      <c r="B84" s="1" t="s">
        <v>796</v>
      </c>
      <c r="C84" s="1" t="s">
        <v>799</v>
      </c>
    </row>
    <row r="85" spans="1:4">
      <c r="A85" s="1" t="s">
        <v>262</v>
      </c>
      <c r="B85" s="1" t="s">
        <v>797</v>
      </c>
      <c r="C85" s="1" t="s">
        <v>799</v>
      </c>
      <c r="D85" s="1" t="s">
        <v>834</v>
      </c>
    </row>
    <row r="86" spans="1:4">
      <c r="A86" s="1" t="s">
        <v>262</v>
      </c>
      <c r="B86" s="1" t="s">
        <v>798</v>
      </c>
      <c r="C86" s="1" t="s">
        <v>799</v>
      </c>
      <c r="D86" s="1" t="s">
        <v>811</v>
      </c>
    </row>
    <row r="87" spans="1:4">
      <c r="A87" s="1" t="s">
        <v>263</v>
      </c>
      <c r="B87" s="1" t="s">
        <v>794</v>
      </c>
      <c r="C87" s="1" t="s">
        <v>799</v>
      </c>
      <c r="D87" s="1" t="s">
        <v>835</v>
      </c>
    </row>
    <row r="88" spans="1:4">
      <c r="A88" s="1" t="s">
        <v>263</v>
      </c>
      <c r="B88" s="1" t="s">
        <v>795</v>
      </c>
      <c r="C88" s="1" t="s">
        <v>799</v>
      </c>
      <c r="D88" s="1" t="s">
        <v>802</v>
      </c>
    </row>
    <row r="89" spans="1:4">
      <c r="A89" s="1" t="s">
        <v>263</v>
      </c>
      <c r="B89" s="1" t="s">
        <v>796</v>
      </c>
      <c r="C89" s="1" t="s">
        <v>799</v>
      </c>
    </row>
    <row r="90" spans="1:4">
      <c r="A90" s="1" t="s">
        <v>263</v>
      </c>
      <c r="B90" s="1" t="s">
        <v>797</v>
      </c>
      <c r="C90" s="1" t="s">
        <v>799</v>
      </c>
      <c r="D90" s="1" t="s">
        <v>836</v>
      </c>
    </row>
    <row r="91" spans="1:4">
      <c r="A91" s="1" t="s">
        <v>263</v>
      </c>
      <c r="B91" s="1" t="s">
        <v>798</v>
      </c>
      <c r="C91" s="1" t="s">
        <v>799</v>
      </c>
      <c r="D91" s="1" t="s">
        <v>807</v>
      </c>
    </row>
    <row r="92" spans="1:4">
      <c r="A92" s="1" t="s">
        <v>264</v>
      </c>
      <c r="B92" s="1" t="s">
        <v>794</v>
      </c>
      <c r="C92" s="1" t="s">
        <v>799</v>
      </c>
      <c r="D92" s="1" t="s">
        <v>837</v>
      </c>
    </row>
    <row r="93" spans="1:4">
      <c r="A93" s="1" t="s">
        <v>264</v>
      </c>
      <c r="B93" s="1" t="s">
        <v>795</v>
      </c>
      <c r="C93" s="1" t="s">
        <v>799</v>
      </c>
      <c r="D93" s="1" t="s">
        <v>802</v>
      </c>
    </row>
    <row r="94" spans="1:4">
      <c r="A94" s="1" t="s">
        <v>264</v>
      </c>
      <c r="B94" s="1" t="s">
        <v>796</v>
      </c>
      <c r="C94" s="1" t="s">
        <v>799</v>
      </c>
    </row>
    <row r="95" spans="1:4">
      <c r="A95" s="1" t="s">
        <v>264</v>
      </c>
      <c r="B95" s="1" t="s">
        <v>797</v>
      </c>
      <c r="C95" s="1" t="s">
        <v>799</v>
      </c>
      <c r="D95" s="1" t="s">
        <v>838</v>
      </c>
    </row>
    <row r="96" spans="1:4">
      <c r="A96" s="1" t="s">
        <v>264</v>
      </c>
      <c r="B96" s="1" t="s">
        <v>798</v>
      </c>
      <c r="C96" s="1" t="s">
        <v>800</v>
      </c>
      <c r="D96" s="1" t="s">
        <v>839</v>
      </c>
    </row>
    <row r="97" spans="1:4">
      <c r="A97" s="1" t="s">
        <v>265</v>
      </c>
      <c r="B97" s="1" t="s">
        <v>794</v>
      </c>
      <c r="C97" s="1" t="s">
        <v>799</v>
      </c>
      <c r="D97" s="1" t="s">
        <v>829</v>
      </c>
    </row>
    <row r="98" spans="1:4">
      <c r="A98" s="1" t="s">
        <v>265</v>
      </c>
      <c r="B98" s="1" t="s">
        <v>795</v>
      </c>
      <c r="C98" s="1" t="s">
        <v>799</v>
      </c>
      <c r="D98" s="1" t="s">
        <v>802</v>
      </c>
    </row>
    <row r="99" spans="1:4">
      <c r="A99" s="1" t="s">
        <v>265</v>
      </c>
      <c r="B99" s="1" t="s">
        <v>796</v>
      </c>
      <c r="C99" s="1" t="s">
        <v>799</v>
      </c>
    </row>
    <row r="100" spans="1:4">
      <c r="A100" s="1" t="s">
        <v>265</v>
      </c>
      <c r="B100" s="1" t="s">
        <v>797</v>
      </c>
      <c r="C100" s="1" t="s">
        <v>799</v>
      </c>
      <c r="D100" s="1" t="s">
        <v>840</v>
      </c>
    </row>
    <row r="101" spans="1:4">
      <c r="A101" s="1" t="s">
        <v>265</v>
      </c>
      <c r="B101" s="1" t="s">
        <v>798</v>
      </c>
      <c r="C101" s="1" t="s">
        <v>799</v>
      </c>
      <c r="D101" s="1" t="s">
        <v>811</v>
      </c>
    </row>
    <row r="102" spans="1:4">
      <c r="A102" s="1" t="s">
        <v>266</v>
      </c>
      <c r="B102" s="1" t="s">
        <v>794</v>
      </c>
      <c r="C102" s="1" t="s">
        <v>799</v>
      </c>
      <c r="D102" s="1" t="s">
        <v>841</v>
      </c>
    </row>
    <row r="103" spans="1:4">
      <c r="A103" s="1" t="s">
        <v>266</v>
      </c>
      <c r="B103" s="1" t="s">
        <v>795</v>
      </c>
      <c r="C103" s="1" t="s">
        <v>799</v>
      </c>
      <c r="D103" s="1" t="s">
        <v>802</v>
      </c>
    </row>
    <row r="104" spans="1:4">
      <c r="A104" s="1" t="s">
        <v>266</v>
      </c>
      <c r="B104" s="1" t="s">
        <v>796</v>
      </c>
      <c r="C104" s="1" t="s">
        <v>799</v>
      </c>
    </row>
    <row r="105" spans="1:4">
      <c r="A105" s="1" t="s">
        <v>266</v>
      </c>
      <c r="B105" s="1" t="s">
        <v>797</v>
      </c>
      <c r="C105" s="1" t="s">
        <v>799</v>
      </c>
      <c r="D105" s="1" t="s">
        <v>842</v>
      </c>
    </row>
    <row r="106" spans="1:4">
      <c r="A106" s="1" t="s">
        <v>266</v>
      </c>
      <c r="B106" s="1" t="s">
        <v>798</v>
      </c>
      <c r="C106" s="1" t="s">
        <v>799</v>
      </c>
      <c r="D106" s="1" t="s">
        <v>811</v>
      </c>
    </row>
    <row r="107" spans="1:4">
      <c r="A107" s="1" t="s">
        <v>267</v>
      </c>
      <c r="B107" s="1" t="s">
        <v>794</v>
      </c>
      <c r="C107" s="1" t="s">
        <v>799</v>
      </c>
      <c r="D107" s="1" t="s">
        <v>843</v>
      </c>
    </row>
    <row r="108" spans="1:4">
      <c r="A108" s="1" t="s">
        <v>267</v>
      </c>
      <c r="B108" s="1" t="s">
        <v>795</v>
      </c>
      <c r="C108" s="1" t="s">
        <v>799</v>
      </c>
      <c r="D108" s="1" t="s">
        <v>802</v>
      </c>
    </row>
    <row r="109" spans="1:4">
      <c r="A109" s="1" t="s">
        <v>267</v>
      </c>
      <c r="B109" s="1" t="s">
        <v>796</v>
      </c>
      <c r="C109" s="1" t="s">
        <v>799</v>
      </c>
    </row>
    <row r="110" spans="1:4">
      <c r="A110" s="1" t="s">
        <v>267</v>
      </c>
      <c r="B110" s="1" t="s">
        <v>797</v>
      </c>
      <c r="C110" s="1" t="s">
        <v>799</v>
      </c>
      <c r="D110" s="1" t="s">
        <v>844</v>
      </c>
    </row>
    <row r="111" spans="1:4">
      <c r="A111" s="1" t="s">
        <v>267</v>
      </c>
      <c r="B111" s="1" t="s">
        <v>798</v>
      </c>
      <c r="C111" s="1" t="s">
        <v>799</v>
      </c>
      <c r="D111" s="1" t="s">
        <v>811</v>
      </c>
    </row>
    <row r="112" spans="1:4">
      <c r="A112" s="1" t="s">
        <v>268</v>
      </c>
      <c r="B112" s="1" t="s">
        <v>794</v>
      </c>
      <c r="C112" s="1" t="s">
        <v>799</v>
      </c>
      <c r="D112" s="1" t="s">
        <v>845</v>
      </c>
    </row>
    <row r="113" spans="1:4">
      <c r="A113" s="1" t="s">
        <v>268</v>
      </c>
      <c r="B113" s="1" t="s">
        <v>795</v>
      </c>
      <c r="C113" s="1" t="s">
        <v>799</v>
      </c>
      <c r="D113" s="1" t="s">
        <v>802</v>
      </c>
    </row>
    <row r="114" spans="1:4">
      <c r="A114" s="1" t="s">
        <v>268</v>
      </c>
      <c r="B114" s="1" t="s">
        <v>796</v>
      </c>
      <c r="C114" s="1" t="s">
        <v>799</v>
      </c>
    </row>
    <row r="115" spans="1:4">
      <c r="A115" s="1" t="s">
        <v>268</v>
      </c>
      <c r="B115" s="1" t="s">
        <v>797</v>
      </c>
      <c r="C115" s="1" t="s">
        <v>799</v>
      </c>
      <c r="D115" s="1" t="s">
        <v>846</v>
      </c>
    </row>
    <row r="116" spans="1:4">
      <c r="A116" s="1" t="s">
        <v>268</v>
      </c>
      <c r="B116" s="1" t="s">
        <v>798</v>
      </c>
      <c r="C116" s="1" t="s">
        <v>799</v>
      </c>
      <c r="D116" s="1" t="s">
        <v>811</v>
      </c>
    </row>
    <row r="117" spans="1:4">
      <c r="A117" s="1" t="s">
        <v>553</v>
      </c>
      <c r="B117" s="1" t="s">
        <v>794</v>
      </c>
      <c r="C117" s="1" t="s">
        <v>799</v>
      </c>
      <c r="D117" s="1" t="s">
        <v>847</v>
      </c>
    </row>
    <row r="118" spans="1:4">
      <c r="A118" s="1" t="s">
        <v>553</v>
      </c>
      <c r="B118" s="1" t="s">
        <v>795</v>
      </c>
      <c r="C118" s="1" t="s">
        <v>799</v>
      </c>
      <c r="D118" s="1" t="s">
        <v>802</v>
      </c>
    </row>
    <row r="119" spans="1:4">
      <c r="A119" s="1" t="s">
        <v>553</v>
      </c>
      <c r="B119" s="1" t="s">
        <v>796</v>
      </c>
      <c r="C119" s="1" t="s">
        <v>799</v>
      </c>
    </row>
    <row r="120" spans="1:4">
      <c r="A120" s="1" t="s">
        <v>553</v>
      </c>
      <c r="B120" s="1" t="s">
        <v>797</v>
      </c>
      <c r="C120" s="1" t="s">
        <v>799</v>
      </c>
      <c r="D120" s="1" t="s">
        <v>848</v>
      </c>
    </row>
    <row r="121" spans="1:4">
      <c r="A121" s="1" t="s">
        <v>553</v>
      </c>
      <c r="B121" s="1" t="s">
        <v>798</v>
      </c>
      <c r="C121" s="1" t="s">
        <v>799</v>
      </c>
      <c r="D121" s="1" t="s">
        <v>849</v>
      </c>
    </row>
    <row r="122" spans="1:4">
      <c r="A122" s="1" t="s">
        <v>554</v>
      </c>
      <c r="B122" s="1" t="s">
        <v>794</v>
      </c>
      <c r="C122" s="1" t="s">
        <v>799</v>
      </c>
      <c r="D122" s="1" t="s">
        <v>850</v>
      </c>
    </row>
    <row r="123" spans="1:4">
      <c r="A123" s="1" t="s">
        <v>554</v>
      </c>
      <c r="B123" s="1" t="s">
        <v>795</v>
      </c>
      <c r="C123" s="1" t="s">
        <v>799</v>
      </c>
      <c r="D123" s="1" t="s">
        <v>802</v>
      </c>
    </row>
    <row r="124" spans="1:4">
      <c r="A124" s="1" t="s">
        <v>554</v>
      </c>
      <c r="B124" s="1" t="s">
        <v>796</v>
      </c>
      <c r="C124" s="1" t="s">
        <v>799</v>
      </c>
    </row>
    <row r="125" spans="1:4">
      <c r="A125" s="1" t="s">
        <v>554</v>
      </c>
      <c r="B125" s="1" t="s">
        <v>797</v>
      </c>
      <c r="C125" s="1" t="s">
        <v>799</v>
      </c>
      <c r="D125" s="1" t="s">
        <v>851</v>
      </c>
    </row>
    <row r="126" spans="1:4">
      <c r="A126" s="1" t="s">
        <v>554</v>
      </c>
      <c r="B126" s="1" t="s">
        <v>798</v>
      </c>
      <c r="C126" s="1" t="s">
        <v>799</v>
      </c>
      <c r="D126" s="1" t="s">
        <v>852</v>
      </c>
    </row>
    <row r="127" spans="1:4">
      <c r="A127" s="1" t="s">
        <v>555</v>
      </c>
      <c r="B127" s="1" t="s">
        <v>794</v>
      </c>
      <c r="C127" s="1" t="s">
        <v>799</v>
      </c>
      <c r="D127" s="1" t="s">
        <v>853</v>
      </c>
    </row>
    <row r="128" spans="1:4">
      <c r="A128" s="1" t="s">
        <v>555</v>
      </c>
      <c r="B128" s="1" t="s">
        <v>795</v>
      </c>
      <c r="C128" s="1" t="s">
        <v>799</v>
      </c>
      <c r="D128" s="1" t="s">
        <v>802</v>
      </c>
    </row>
    <row r="129" spans="1:4">
      <c r="A129" s="1" t="s">
        <v>555</v>
      </c>
      <c r="B129" s="1" t="s">
        <v>796</v>
      </c>
      <c r="C129" s="1" t="s">
        <v>799</v>
      </c>
    </row>
    <row r="130" spans="1:4">
      <c r="A130" s="1" t="s">
        <v>555</v>
      </c>
      <c r="B130" s="1" t="s">
        <v>797</v>
      </c>
      <c r="C130" s="1" t="s">
        <v>799</v>
      </c>
      <c r="D130" s="1" t="s">
        <v>854</v>
      </c>
    </row>
    <row r="131" spans="1:4">
      <c r="A131" s="1" t="s">
        <v>555</v>
      </c>
      <c r="B131" s="1" t="s">
        <v>798</v>
      </c>
      <c r="C131" s="1" t="s">
        <v>799</v>
      </c>
      <c r="D131" s="1" t="s">
        <v>855</v>
      </c>
    </row>
    <row r="132" spans="1:4">
      <c r="A132" s="1" t="s">
        <v>556</v>
      </c>
      <c r="B132" s="1" t="s">
        <v>794</v>
      </c>
      <c r="C132" s="1" t="s">
        <v>799</v>
      </c>
      <c r="D132" s="1" t="s">
        <v>856</v>
      </c>
    </row>
    <row r="133" spans="1:4">
      <c r="A133" s="1" t="s">
        <v>556</v>
      </c>
      <c r="B133" s="1" t="s">
        <v>795</v>
      </c>
      <c r="C133" s="1" t="s">
        <v>799</v>
      </c>
      <c r="D133" s="1" t="s">
        <v>802</v>
      </c>
    </row>
    <row r="134" spans="1:4">
      <c r="A134" s="1" t="s">
        <v>556</v>
      </c>
      <c r="B134" s="1" t="s">
        <v>796</v>
      </c>
      <c r="C134" s="1" t="s">
        <v>799</v>
      </c>
    </row>
    <row r="135" spans="1:4">
      <c r="A135" s="1" t="s">
        <v>556</v>
      </c>
      <c r="B135" s="1" t="s">
        <v>797</v>
      </c>
      <c r="C135" s="1" t="s">
        <v>799</v>
      </c>
      <c r="D135" s="1" t="s">
        <v>857</v>
      </c>
    </row>
    <row r="136" spans="1:4">
      <c r="A136" s="1" t="s">
        <v>556</v>
      </c>
      <c r="B136" s="1" t="s">
        <v>798</v>
      </c>
      <c r="C136" s="1" t="s">
        <v>799</v>
      </c>
      <c r="D136" s="1" t="s">
        <v>858</v>
      </c>
    </row>
    <row r="137" spans="1:4">
      <c r="A137" s="1" t="s">
        <v>557</v>
      </c>
      <c r="B137" s="1" t="s">
        <v>794</v>
      </c>
      <c r="C137" s="1" t="s">
        <v>799</v>
      </c>
      <c r="D137" s="1" t="s">
        <v>859</v>
      </c>
    </row>
    <row r="138" spans="1:4">
      <c r="A138" s="1" t="s">
        <v>557</v>
      </c>
      <c r="B138" s="1" t="s">
        <v>795</v>
      </c>
      <c r="C138" s="1" t="s">
        <v>799</v>
      </c>
      <c r="D138" s="1" t="s">
        <v>802</v>
      </c>
    </row>
    <row r="139" spans="1:4">
      <c r="A139" s="1" t="s">
        <v>557</v>
      </c>
      <c r="B139" s="1" t="s">
        <v>796</v>
      </c>
      <c r="C139" s="1" t="s">
        <v>799</v>
      </c>
    </row>
    <row r="140" spans="1:4">
      <c r="A140" s="1" t="s">
        <v>557</v>
      </c>
      <c r="B140" s="1" t="s">
        <v>797</v>
      </c>
      <c r="C140" s="1" t="s">
        <v>799</v>
      </c>
      <c r="D140" s="1" t="s">
        <v>860</v>
      </c>
    </row>
    <row r="141" spans="1:4">
      <c r="A141" s="1" t="s">
        <v>557</v>
      </c>
      <c r="B141" s="1" t="s">
        <v>798</v>
      </c>
      <c r="C141" s="1" t="s">
        <v>799</v>
      </c>
      <c r="D141" s="1" t="s">
        <v>861</v>
      </c>
    </row>
    <row r="142" spans="1:4">
      <c r="A142" s="1" t="s">
        <v>558</v>
      </c>
      <c r="B142" s="1" t="s">
        <v>794</v>
      </c>
      <c r="C142" s="1" t="s">
        <v>799</v>
      </c>
      <c r="D142" s="1" t="s">
        <v>862</v>
      </c>
    </row>
    <row r="143" spans="1:4">
      <c r="A143" s="1" t="s">
        <v>558</v>
      </c>
      <c r="B143" s="1" t="s">
        <v>795</v>
      </c>
      <c r="C143" s="1" t="s">
        <v>799</v>
      </c>
      <c r="D143" s="1" t="s">
        <v>802</v>
      </c>
    </row>
    <row r="144" spans="1:4">
      <c r="A144" s="1" t="s">
        <v>558</v>
      </c>
      <c r="B144" s="1" t="s">
        <v>796</v>
      </c>
      <c r="C144" s="1" t="s">
        <v>799</v>
      </c>
    </row>
    <row r="145" spans="1:4">
      <c r="A145" s="1" t="s">
        <v>558</v>
      </c>
      <c r="B145" s="1" t="s">
        <v>797</v>
      </c>
      <c r="C145" s="1" t="s">
        <v>799</v>
      </c>
      <c r="D145" s="1" t="s">
        <v>863</v>
      </c>
    </row>
    <row r="146" spans="1:4">
      <c r="A146" s="1" t="s">
        <v>558</v>
      </c>
      <c r="B146" s="1" t="s">
        <v>798</v>
      </c>
      <c r="C146" s="1" t="s">
        <v>799</v>
      </c>
      <c r="D146" s="1" t="s">
        <v>864</v>
      </c>
    </row>
    <row r="147" spans="1:4">
      <c r="A147" s="1" t="s">
        <v>563</v>
      </c>
      <c r="B147" s="1" t="s">
        <v>794</v>
      </c>
      <c r="C147" s="1" t="s">
        <v>799</v>
      </c>
      <c r="D147" s="1" t="s">
        <v>865</v>
      </c>
    </row>
    <row r="148" spans="1:4">
      <c r="A148" s="1" t="s">
        <v>563</v>
      </c>
      <c r="B148" s="1" t="s">
        <v>795</v>
      </c>
      <c r="C148" s="1" t="s">
        <v>799</v>
      </c>
      <c r="D148" s="1" t="s">
        <v>802</v>
      </c>
    </row>
    <row r="149" spans="1:4">
      <c r="A149" s="1" t="s">
        <v>563</v>
      </c>
      <c r="B149" s="1" t="s">
        <v>796</v>
      </c>
      <c r="C149" s="1" t="s">
        <v>799</v>
      </c>
    </row>
    <row r="150" spans="1:4">
      <c r="A150" s="1" t="s">
        <v>563</v>
      </c>
      <c r="B150" s="1" t="s">
        <v>797</v>
      </c>
      <c r="C150" s="1" t="s">
        <v>800</v>
      </c>
      <c r="D150" s="1" t="s">
        <v>866</v>
      </c>
    </row>
    <row r="151" spans="1:4">
      <c r="A151" s="1" t="s">
        <v>563</v>
      </c>
      <c r="B151" s="1" t="s">
        <v>798</v>
      </c>
      <c r="C151" s="1" t="s">
        <v>800</v>
      </c>
      <c r="D151" s="1" t="s">
        <v>867</v>
      </c>
    </row>
    <row r="152" spans="1:4">
      <c r="A152" s="1" t="s">
        <v>564</v>
      </c>
      <c r="B152" s="1" t="s">
        <v>794</v>
      </c>
      <c r="C152" s="1" t="s">
        <v>799</v>
      </c>
      <c r="D152" s="1" t="s">
        <v>868</v>
      </c>
    </row>
    <row r="153" spans="1:4">
      <c r="A153" s="1" t="s">
        <v>564</v>
      </c>
      <c r="B153" s="1" t="s">
        <v>795</v>
      </c>
      <c r="C153" s="1" t="s">
        <v>799</v>
      </c>
      <c r="D153" s="1" t="s">
        <v>802</v>
      </c>
    </row>
    <row r="154" spans="1:4">
      <c r="A154" s="1" t="s">
        <v>564</v>
      </c>
      <c r="B154" s="1" t="s">
        <v>796</v>
      </c>
      <c r="C154" s="1" t="s">
        <v>799</v>
      </c>
    </row>
    <row r="155" spans="1:4">
      <c r="A155" s="1" t="s">
        <v>564</v>
      </c>
      <c r="B155" s="1" t="s">
        <v>797</v>
      </c>
      <c r="C155" s="1" t="s">
        <v>799</v>
      </c>
      <c r="D155" s="1" t="s">
        <v>869</v>
      </c>
    </row>
    <row r="156" spans="1:4">
      <c r="A156" s="1" t="s">
        <v>564</v>
      </c>
      <c r="B156" s="1" t="s">
        <v>798</v>
      </c>
      <c r="C156" s="1" t="s">
        <v>799</v>
      </c>
      <c r="D156" s="1" t="s">
        <v>807</v>
      </c>
    </row>
    <row r="157" spans="1:4">
      <c r="A157" s="1" t="s">
        <v>565</v>
      </c>
      <c r="B157" s="1" t="s">
        <v>794</v>
      </c>
      <c r="C157" s="1" t="s">
        <v>799</v>
      </c>
      <c r="D157" s="1" t="s">
        <v>870</v>
      </c>
    </row>
    <row r="158" spans="1:4">
      <c r="A158" s="1" t="s">
        <v>565</v>
      </c>
      <c r="B158" s="1" t="s">
        <v>795</v>
      </c>
      <c r="C158" s="1" t="s">
        <v>799</v>
      </c>
      <c r="D158" s="1" t="s">
        <v>802</v>
      </c>
    </row>
    <row r="159" spans="1:4">
      <c r="A159" s="1" t="s">
        <v>565</v>
      </c>
      <c r="B159" s="1" t="s">
        <v>796</v>
      </c>
      <c r="C159" s="1" t="s">
        <v>799</v>
      </c>
    </row>
    <row r="160" spans="1:4">
      <c r="A160" s="1" t="s">
        <v>565</v>
      </c>
      <c r="B160" s="1" t="s">
        <v>797</v>
      </c>
      <c r="C160" s="1" t="s">
        <v>800</v>
      </c>
      <c r="D160" s="1" t="s">
        <v>871</v>
      </c>
    </row>
    <row r="161" spans="1:4">
      <c r="A161" s="1" t="s">
        <v>565</v>
      </c>
      <c r="B161" s="1" t="s">
        <v>798</v>
      </c>
      <c r="C161" s="1" t="s">
        <v>800</v>
      </c>
      <c r="D161" s="1" t="s">
        <v>872</v>
      </c>
    </row>
    <row r="162" spans="1:4">
      <c r="A162" s="1" t="s">
        <v>566</v>
      </c>
      <c r="B162" s="1" t="s">
        <v>794</v>
      </c>
      <c r="C162" s="1" t="s">
        <v>799</v>
      </c>
      <c r="D162" s="1" t="s">
        <v>873</v>
      </c>
    </row>
    <row r="163" spans="1:4">
      <c r="A163" s="1" t="s">
        <v>566</v>
      </c>
      <c r="B163" s="1" t="s">
        <v>795</v>
      </c>
      <c r="C163" s="1" t="s">
        <v>799</v>
      </c>
      <c r="D163" s="1" t="s">
        <v>802</v>
      </c>
    </row>
    <row r="164" spans="1:4">
      <c r="A164" s="1" t="s">
        <v>566</v>
      </c>
      <c r="B164" s="1" t="s">
        <v>796</v>
      </c>
      <c r="C164" s="1" t="s">
        <v>799</v>
      </c>
    </row>
    <row r="165" spans="1:4">
      <c r="A165" s="1" t="s">
        <v>566</v>
      </c>
      <c r="B165" s="1" t="s">
        <v>797</v>
      </c>
      <c r="C165" s="1" t="s">
        <v>799</v>
      </c>
      <c r="D165" s="1" t="s">
        <v>874</v>
      </c>
    </row>
    <row r="166" spans="1:4">
      <c r="A166" s="1" t="s">
        <v>566</v>
      </c>
      <c r="B166" s="1" t="s">
        <v>798</v>
      </c>
      <c r="C166" s="1" t="s">
        <v>799</v>
      </c>
      <c r="D166" s="1" t="s">
        <v>807</v>
      </c>
    </row>
    <row r="167" spans="1:4">
      <c r="A167" s="1" t="s">
        <v>567</v>
      </c>
      <c r="B167" s="1" t="s">
        <v>794</v>
      </c>
      <c r="C167" s="1" t="s">
        <v>799</v>
      </c>
      <c r="D167" s="1" t="s">
        <v>873</v>
      </c>
    </row>
    <row r="168" spans="1:4">
      <c r="A168" s="1" t="s">
        <v>567</v>
      </c>
      <c r="B168" s="1" t="s">
        <v>795</v>
      </c>
      <c r="C168" s="1" t="s">
        <v>799</v>
      </c>
      <c r="D168" s="1" t="s">
        <v>802</v>
      </c>
    </row>
    <row r="169" spans="1:4">
      <c r="A169" s="1" t="s">
        <v>567</v>
      </c>
      <c r="B169" s="1" t="s">
        <v>796</v>
      </c>
      <c r="C169" s="1" t="s">
        <v>799</v>
      </c>
    </row>
    <row r="170" spans="1:4">
      <c r="A170" s="1" t="s">
        <v>567</v>
      </c>
      <c r="B170" s="1" t="s">
        <v>797</v>
      </c>
      <c r="C170" s="1" t="s">
        <v>799</v>
      </c>
      <c r="D170" s="1" t="s">
        <v>875</v>
      </c>
    </row>
    <row r="171" spans="1:4">
      <c r="A171" s="1" t="s">
        <v>567</v>
      </c>
      <c r="B171" s="1" t="s">
        <v>798</v>
      </c>
      <c r="C171" s="1" t="s">
        <v>799</v>
      </c>
      <c r="D171" s="1" t="s">
        <v>807</v>
      </c>
    </row>
    <row r="172" spans="1:4">
      <c r="A172" s="1" t="s">
        <v>568</v>
      </c>
      <c r="B172" s="1" t="s">
        <v>794</v>
      </c>
      <c r="C172" s="1" t="s">
        <v>799</v>
      </c>
      <c r="D172" s="1" t="s">
        <v>873</v>
      </c>
    </row>
    <row r="173" spans="1:4">
      <c r="A173" s="1" t="s">
        <v>568</v>
      </c>
      <c r="B173" s="1" t="s">
        <v>795</v>
      </c>
      <c r="C173" s="1" t="s">
        <v>799</v>
      </c>
      <c r="D173" s="1" t="s">
        <v>802</v>
      </c>
    </row>
    <row r="174" spans="1:4">
      <c r="A174" s="1" t="s">
        <v>568</v>
      </c>
      <c r="B174" s="1" t="s">
        <v>796</v>
      </c>
      <c r="C174" s="1" t="s">
        <v>799</v>
      </c>
    </row>
    <row r="175" spans="1:4">
      <c r="A175" s="1" t="s">
        <v>568</v>
      </c>
      <c r="B175" s="1" t="s">
        <v>797</v>
      </c>
      <c r="C175" s="1" t="s">
        <v>799</v>
      </c>
      <c r="D175" s="1" t="s">
        <v>876</v>
      </c>
    </row>
    <row r="176" spans="1:4">
      <c r="A176" s="1" t="s">
        <v>568</v>
      </c>
      <c r="B176" s="1" t="s">
        <v>798</v>
      </c>
      <c r="C176" s="1" t="s">
        <v>799</v>
      </c>
      <c r="D176" s="1" t="s">
        <v>807</v>
      </c>
    </row>
    <row r="177" spans="1:4">
      <c r="A177" s="1" t="s">
        <v>569</v>
      </c>
      <c r="B177" s="1" t="s">
        <v>794</v>
      </c>
      <c r="C177" s="1" t="s">
        <v>799</v>
      </c>
      <c r="D177" s="1" t="s">
        <v>873</v>
      </c>
    </row>
    <row r="178" spans="1:4">
      <c r="A178" s="1" t="s">
        <v>569</v>
      </c>
      <c r="B178" s="1" t="s">
        <v>795</v>
      </c>
      <c r="C178" s="1" t="s">
        <v>799</v>
      </c>
      <c r="D178" s="1" t="s">
        <v>802</v>
      </c>
    </row>
    <row r="179" spans="1:4">
      <c r="A179" s="1" t="s">
        <v>569</v>
      </c>
      <c r="B179" s="1" t="s">
        <v>796</v>
      </c>
      <c r="C179" s="1" t="s">
        <v>799</v>
      </c>
    </row>
    <row r="180" spans="1:4">
      <c r="A180" s="1" t="s">
        <v>569</v>
      </c>
      <c r="B180" s="1" t="s">
        <v>797</v>
      </c>
      <c r="C180" s="1" t="s">
        <v>799</v>
      </c>
      <c r="D180" s="1" t="s">
        <v>877</v>
      </c>
    </row>
    <row r="181" spans="1:4">
      <c r="A181" s="1" t="s">
        <v>569</v>
      </c>
      <c r="B181" s="1" t="s">
        <v>798</v>
      </c>
      <c r="C181" s="1" t="s">
        <v>799</v>
      </c>
      <c r="D181" s="1" t="s">
        <v>807</v>
      </c>
    </row>
    <row r="182" spans="1:4">
      <c r="A182" s="1" t="s">
        <v>570</v>
      </c>
      <c r="B182" s="1" t="s">
        <v>794</v>
      </c>
      <c r="C182" s="1" t="s">
        <v>799</v>
      </c>
      <c r="D182" s="1" t="s">
        <v>878</v>
      </c>
    </row>
    <row r="183" spans="1:4">
      <c r="A183" s="1" t="s">
        <v>570</v>
      </c>
      <c r="B183" s="1" t="s">
        <v>795</v>
      </c>
      <c r="C183" s="1" t="s">
        <v>799</v>
      </c>
      <c r="D183" s="1" t="s">
        <v>802</v>
      </c>
    </row>
    <row r="184" spans="1:4">
      <c r="A184" s="1" t="s">
        <v>570</v>
      </c>
      <c r="B184" s="1" t="s">
        <v>796</v>
      </c>
      <c r="C184" s="1" t="s">
        <v>799</v>
      </c>
    </row>
    <row r="185" spans="1:4">
      <c r="A185" s="1" t="s">
        <v>570</v>
      </c>
      <c r="B185" s="1" t="s">
        <v>797</v>
      </c>
      <c r="C185" s="1" t="s">
        <v>800</v>
      </c>
      <c r="D185" s="1" t="s">
        <v>879</v>
      </c>
    </row>
    <row r="186" spans="1:4">
      <c r="A186" s="1" t="s">
        <v>570</v>
      </c>
      <c r="B186" s="1" t="s">
        <v>798</v>
      </c>
      <c r="C186" s="1" t="s">
        <v>799</v>
      </c>
      <c r="D186" s="1" t="s">
        <v>804</v>
      </c>
    </row>
    <row r="187" spans="1:4">
      <c r="A187" s="1" t="s">
        <v>571</v>
      </c>
      <c r="B187" s="1" t="s">
        <v>794</v>
      </c>
      <c r="C187" s="1" t="s">
        <v>799</v>
      </c>
      <c r="D187" s="1" t="s">
        <v>880</v>
      </c>
    </row>
    <row r="188" spans="1:4">
      <c r="A188" s="1" t="s">
        <v>571</v>
      </c>
      <c r="B188" s="1" t="s">
        <v>795</v>
      </c>
      <c r="C188" s="1" t="s">
        <v>799</v>
      </c>
      <c r="D188" s="1" t="s">
        <v>802</v>
      </c>
    </row>
    <row r="189" spans="1:4">
      <c r="A189" s="1" t="s">
        <v>571</v>
      </c>
      <c r="B189" s="1" t="s">
        <v>796</v>
      </c>
      <c r="C189" s="1" t="s">
        <v>799</v>
      </c>
    </row>
    <row r="190" spans="1:4">
      <c r="A190" s="1" t="s">
        <v>571</v>
      </c>
      <c r="B190" s="1" t="s">
        <v>797</v>
      </c>
      <c r="C190" s="1" t="s">
        <v>800</v>
      </c>
      <c r="D190" s="1" t="s">
        <v>881</v>
      </c>
    </row>
    <row r="191" spans="1:4">
      <c r="A191" s="1" t="s">
        <v>571</v>
      </c>
      <c r="B191" s="1" t="s">
        <v>798</v>
      </c>
      <c r="C191" s="1" t="s">
        <v>799</v>
      </c>
      <c r="D191" s="1" t="s">
        <v>811</v>
      </c>
    </row>
    <row r="192" spans="1:4">
      <c r="A192" s="1" t="s">
        <v>572</v>
      </c>
      <c r="B192" s="1" t="s">
        <v>794</v>
      </c>
      <c r="C192" s="1" t="s">
        <v>799</v>
      </c>
      <c r="D192" s="1" t="s">
        <v>882</v>
      </c>
    </row>
    <row r="193" spans="1:4">
      <c r="A193" s="1" t="s">
        <v>572</v>
      </c>
      <c r="B193" s="1" t="s">
        <v>795</v>
      </c>
      <c r="C193" s="1" t="s">
        <v>799</v>
      </c>
      <c r="D193" s="1" t="s">
        <v>802</v>
      </c>
    </row>
    <row r="194" spans="1:4">
      <c r="A194" s="1" t="s">
        <v>572</v>
      </c>
      <c r="B194" s="1" t="s">
        <v>796</v>
      </c>
      <c r="C194" s="1" t="s">
        <v>799</v>
      </c>
    </row>
    <row r="195" spans="1:4">
      <c r="A195" s="1" t="s">
        <v>572</v>
      </c>
      <c r="B195" s="1" t="s">
        <v>797</v>
      </c>
      <c r="C195" s="1" t="s">
        <v>799</v>
      </c>
      <c r="D195" s="1" t="s">
        <v>883</v>
      </c>
    </row>
    <row r="196" spans="1:4">
      <c r="A196" s="1" t="s">
        <v>572</v>
      </c>
      <c r="B196" s="1" t="s">
        <v>798</v>
      </c>
      <c r="C196" s="1" t="s">
        <v>799</v>
      </c>
      <c r="D196" s="1" t="s">
        <v>811</v>
      </c>
    </row>
    <row r="197" spans="1:4">
      <c r="A197" s="1" t="s">
        <v>573</v>
      </c>
      <c r="B197" s="1" t="s">
        <v>794</v>
      </c>
      <c r="C197" s="1" t="s">
        <v>799</v>
      </c>
      <c r="D197" s="1" t="s">
        <v>884</v>
      </c>
    </row>
    <row r="198" spans="1:4">
      <c r="A198" s="1" t="s">
        <v>573</v>
      </c>
      <c r="B198" s="1" t="s">
        <v>795</v>
      </c>
      <c r="C198" s="1" t="s">
        <v>799</v>
      </c>
      <c r="D198" s="1" t="s">
        <v>802</v>
      </c>
    </row>
    <row r="199" spans="1:4">
      <c r="A199" s="1" t="s">
        <v>573</v>
      </c>
      <c r="B199" s="1" t="s">
        <v>796</v>
      </c>
      <c r="C199" s="1" t="s">
        <v>799</v>
      </c>
    </row>
    <row r="200" spans="1:4">
      <c r="A200" s="1" t="s">
        <v>573</v>
      </c>
      <c r="B200" s="1" t="s">
        <v>797</v>
      </c>
      <c r="C200" s="1" t="s">
        <v>799</v>
      </c>
      <c r="D200" s="1" t="s">
        <v>885</v>
      </c>
    </row>
    <row r="201" spans="1:4">
      <c r="A201" s="1" t="s">
        <v>573</v>
      </c>
      <c r="B201" s="1" t="s">
        <v>798</v>
      </c>
      <c r="C201" s="1" t="s">
        <v>799</v>
      </c>
      <c r="D201" s="1" t="s">
        <v>811</v>
      </c>
    </row>
    <row r="202" spans="1:4">
      <c r="A202" s="1" t="s">
        <v>574</v>
      </c>
      <c r="B202" s="1" t="s">
        <v>794</v>
      </c>
      <c r="C202" s="1" t="s">
        <v>799</v>
      </c>
      <c r="D202" s="1" t="s">
        <v>884</v>
      </c>
    </row>
    <row r="203" spans="1:4">
      <c r="A203" s="1" t="s">
        <v>574</v>
      </c>
      <c r="B203" s="1" t="s">
        <v>795</v>
      </c>
      <c r="C203" s="1" t="s">
        <v>799</v>
      </c>
      <c r="D203" s="1" t="s">
        <v>802</v>
      </c>
    </row>
    <row r="204" spans="1:4">
      <c r="A204" s="1" t="s">
        <v>574</v>
      </c>
      <c r="B204" s="1" t="s">
        <v>796</v>
      </c>
      <c r="C204" s="1" t="s">
        <v>799</v>
      </c>
    </row>
    <row r="205" spans="1:4">
      <c r="A205" s="1" t="s">
        <v>574</v>
      </c>
      <c r="B205" s="1" t="s">
        <v>797</v>
      </c>
      <c r="C205" s="1" t="s">
        <v>799</v>
      </c>
      <c r="D205" s="1" t="s">
        <v>886</v>
      </c>
    </row>
    <row r="206" spans="1:4">
      <c r="A206" s="1" t="s">
        <v>574</v>
      </c>
      <c r="B206" s="1" t="s">
        <v>798</v>
      </c>
      <c r="C206" s="1" t="s">
        <v>799</v>
      </c>
      <c r="D206" s="1" t="s">
        <v>811</v>
      </c>
    </row>
    <row r="207" spans="1:4">
      <c r="A207" s="1" t="s">
        <v>575</v>
      </c>
      <c r="B207" s="1" t="s">
        <v>794</v>
      </c>
      <c r="C207" s="1" t="s">
        <v>799</v>
      </c>
      <c r="D207" s="1" t="s">
        <v>887</v>
      </c>
    </row>
    <row r="208" spans="1:4">
      <c r="A208" s="1" t="s">
        <v>575</v>
      </c>
      <c r="B208" s="1" t="s">
        <v>795</v>
      </c>
      <c r="C208" s="1" t="s">
        <v>799</v>
      </c>
      <c r="D208" s="1" t="s">
        <v>802</v>
      </c>
    </row>
    <row r="209" spans="1:4">
      <c r="A209" s="1" t="s">
        <v>575</v>
      </c>
      <c r="B209" s="1" t="s">
        <v>796</v>
      </c>
      <c r="C209" s="1" t="s">
        <v>799</v>
      </c>
    </row>
    <row r="210" spans="1:4">
      <c r="A210" s="1" t="s">
        <v>575</v>
      </c>
      <c r="B210" s="1" t="s">
        <v>797</v>
      </c>
      <c r="C210" s="1" t="s">
        <v>799</v>
      </c>
      <c r="D210" s="1" t="s">
        <v>888</v>
      </c>
    </row>
    <row r="211" spans="1:4">
      <c r="A211" s="1" t="s">
        <v>575</v>
      </c>
      <c r="B211" s="1" t="s">
        <v>798</v>
      </c>
      <c r="C211" s="1" t="s">
        <v>799</v>
      </c>
      <c r="D211" s="1" t="s">
        <v>807</v>
      </c>
    </row>
    <row r="212" spans="1:4">
      <c r="A212" s="1" t="s">
        <v>576</v>
      </c>
      <c r="B212" s="1" t="s">
        <v>794</v>
      </c>
      <c r="C212" s="1" t="s">
        <v>799</v>
      </c>
      <c r="D212" s="1" t="s">
        <v>889</v>
      </c>
    </row>
    <row r="213" spans="1:4">
      <c r="A213" s="1" t="s">
        <v>576</v>
      </c>
      <c r="B213" s="1" t="s">
        <v>795</v>
      </c>
      <c r="C213" s="1" t="s">
        <v>799</v>
      </c>
      <c r="D213" s="1" t="s">
        <v>802</v>
      </c>
    </row>
    <row r="214" spans="1:4">
      <c r="A214" s="1" t="s">
        <v>576</v>
      </c>
      <c r="B214" s="1" t="s">
        <v>796</v>
      </c>
      <c r="C214" s="1" t="s">
        <v>799</v>
      </c>
    </row>
    <row r="215" spans="1:4">
      <c r="A215" s="1" t="s">
        <v>576</v>
      </c>
      <c r="B215" s="1" t="s">
        <v>797</v>
      </c>
      <c r="C215" s="1" t="s">
        <v>799</v>
      </c>
      <c r="D215" s="1" t="s">
        <v>890</v>
      </c>
    </row>
    <row r="216" spans="1:4">
      <c r="A216" s="1" t="s">
        <v>576</v>
      </c>
      <c r="B216" s="1" t="s">
        <v>798</v>
      </c>
      <c r="C216" s="1" t="s">
        <v>799</v>
      </c>
      <c r="D216" s="1" t="s">
        <v>807</v>
      </c>
    </row>
    <row r="217" spans="1:4">
      <c r="A217" s="1" t="s">
        <v>577</v>
      </c>
      <c r="B217" s="1" t="s">
        <v>794</v>
      </c>
      <c r="C217" s="1" t="s">
        <v>799</v>
      </c>
      <c r="D217" s="1" t="s">
        <v>884</v>
      </c>
    </row>
    <row r="218" spans="1:4">
      <c r="A218" s="1" t="s">
        <v>577</v>
      </c>
      <c r="B218" s="1" t="s">
        <v>795</v>
      </c>
      <c r="C218" s="1" t="s">
        <v>799</v>
      </c>
      <c r="D218" s="1" t="s">
        <v>802</v>
      </c>
    </row>
    <row r="219" spans="1:4">
      <c r="A219" s="1" t="s">
        <v>577</v>
      </c>
      <c r="B219" s="1" t="s">
        <v>796</v>
      </c>
      <c r="C219" s="1" t="s">
        <v>799</v>
      </c>
    </row>
    <row r="220" spans="1:4">
      <c r="A220" s="1" t="s">
        <v>577</v>
      </c>
      <c r="B220" s="1" t="s">
        <v>797</v>
      </c>
      <c r="C220" s="1" t="s">
        <v>799</v>
      </c>
      <c r="D220" s="1" t="s">
        <v>891</v>
      </c>
    </row>
    <row r="221" spans="1:4">
      <c r="A221" s="1" t="s">
        <v>577</v>
      </c>
      <c r="B221" s="1" t="s">
        <v>798</v>
      </c>
      <c r="C221" s="1" t="s">
        <v>799</v>
      </c>
      <c r="D221" s="1" t="s">
        <v>811</v>
      </c>
    </row>
    <row r="222" spans="1:4">
      <c r="A222" s="1" t="s">
        <v>578</v>
      </c>
      <c r="B222" s="1" t="s">
        <v>794</v>
      </c>
      <c r="C222" s="1" t="s">
        <v>799</v>
      </c>
      <c r="D222" s="1" t="s">
        <v>892</v>
      </c>
    </row>
    <row r="223" spans="1:4">
      <c r="A223" s="1" t="s">
        <v>578</v>
      </c>
      <c r="B223" s="1" t="s">
        <v>795</v>
      </c>
      <c r="C223" s="1" t="s">
        <v>799</v>
      </c>
      <c r="D223" s="1" t="s">
        <v>802</v>
      </c>
    </row>
    <row r="224" spans="1:4">
      <c r="A224" s="1" t="s">
        <v>578</v>
      </c>
      <c r="B224" s="1" t="s">
        <v>796</v>
      </c>
      <c r="C224" s="1" t="s">
        <v>799</v>
      </c>
    </row>
    <row r="225" spans="1:4">
      <c r="A225" s="1" t="s">
        <v>578</v>
      </c>
      <c r="B225" s="1" t="s">
        <v>797</v>
      </c>
      <c r="C225" s="1" t="s">
        <v>799</v>
      </c>
      <c r="D225" s="1" t="s">
        <v>893</v>
      </c>
    </row>
    <row r="226" spans="1:4">
      <c r="A226" s="1" t="s">
        <v>578</v>
      </c>
      <c r="B226" s="1" t="s">
        <v>798</v>
      </c>
      <c r="C226" s="1" t="s">
        <v>799</v>
      </c>
      <c r="D226" s="1" t="s">
        <v>807</v>
      </c>
    </row>
    <row r="227" spans="1:4">
      <c r="A227" s="1" t="s">
        <v>579</v>
      </c>
      <c r="B227" s="1" t="s">
        <v>794</v>
      </c>
      <c r="C227" s="1" t="s">
        <v>799</v>
      </c>
      <c r="D227" s="1" t="s">
        <v>892</v>
      </c>
    </row>
    <row r="228" spans="1:4">
      <c r="A228" s="1" t="s">
        <v>579</v>
      </c>
      <c r="B228" s="1" t="s">
        <v>795</v>
      </c>
      <c r="C228" s="1" t="s">
        <v>799</v>
      </c>
      <c r="D228" s="1" t="s">
        <v>802</v>
      </c>
    </row>
    <row r="229" spans="1:4">
      <c r="A229" s="1" t="s">
        <v>579</v>
      </c>
      <c r="B229" s="1" t="s">
        <v>796</v>
      </c>
      <c r="C229" s="1" t="s">
        <v>799</v>
      </c>
    </row>
    <row r="230" spans="1:4">
      <c r="A230" s="1" t="s">
        <v>579</v>
      </c>
      <c r="B230" s="1" t="s">
        <v>797</v>
      </c>
      <c r="C230" s="1" t="s">
        <v>799</v>
      </c>
      <c r="D230" s="1" t="s">
        <v>894</v>
      </c>
    </row>
    <row r="231" spans="1:4">
      <c r="A231" s="1" t="s">
        <v>579</v>
      </c>
      <c r="B231" s="1" t="s">
        <v>798</v>
      </c>
      <c r="C231" s="1" t="s">
        <v>799</v>
      </c>
      <c r="D231" s="1" t="s">
        <v>807</v>
      </c>
    </row>
    <row r="232" spans="1:4">
      <c r="A232" s="1" t="s">
        <v>580</v>
      </c>
      <c r="B232" s="1" t="s">
        <v>794</v>
      </c>
      <c r="C232" s="1" t="s">
        <v>799</v>
      </c>
      <c r="D232" s="1" t="s">
        <v>892</v>
      </c>
    </row>
    <row r="233" spans="1:4">
      <c r="A233" s="1" t="s">
        <v>580</v>
      </c>
      <c r="B233" s="1" t="s">
        <v>795</v>
      </c>
      <c r="C233" s="1" t="s">
        <v>799</v>
      </c>
      <c r="D233" s="1" t="s">
        <v>802</v>
      </c>
    </row>
    <row r="234" spans="1:4">
      <c r="A234" s="1" t="s">
        <v>580</v>
      </c>
      <c r="B234" s="1" t="s">
        <v>796</v>
      </c>
      <c r="C234" s="1" t="s">
        <v>799</v>
      </c>
    </row>
    <row r="235" spans="1:4">
      <c r="A235" s="1" t="s">
        <v>580</v>
      </c>
      <c r="B235" s="1" t="s">
        <v>797</v>
      </c>
      <c r="C235" s="1" t="s">
        <v>799</v>
      </c>
      <c r="D235" s="1" t="s">
        <v>895</v>
      </c>
    </row>
    <row r="236" spans="1:4">
      <c r="A236" s="1" t="s">
        <v>580</v>
      </c>
      <c r="B236" s="1" t="s">
        <v>798</v>
      </c>
      <c r="C236" s="1" t="s">
        <v>799</v>
      </c>
      <c r="D236" s="1" t="s">
        <v>807</v>
      </c>
    </row>
    <row r="237" spans="1:4">
      <c r="A237" s="1" t="s">
        <v>581</v>
      </c>
      <c r="B237" s="1" t="s">
        <v>794</v>
      </c>
      <c r="C237" s="1" t="s">
        <v>799</v>
      </c>
      <c r="D237" s="1" t="s">
        <v>892</v>
      </c>
    </row>
    <row r="238" spans="1:4">
      <c r="A238" s="1" t="s">
        <v>581</v>
      </c>
      <c r="B238" s="1" t="s">
        <v>795</v>
      </c>
      <c r="C238" s="1" t="s">
        <v>799</v>
      </c>
      <c r="D238" s="1" t="s">
        <v>802</v>
      </c>
    </row>
    <row r="239" spans="1:4">
      <c r="A239" s="1" t="s">
        <v>581</v>
      </c>
      <c r="B239" s="1" t="s">
        <v>796</v>
      </c>
      <c r="C239" s="1" t="s">
        <v>799</v>
      </c>
    </row>
    <row r="240" spans="1:4">
      <c r="A240" s="1" t="s">
        <v>581</v>
      </c>
      <c r="B240" s="1" t="s">
        <v>797</v>
      </c>
      <c r="C240" s="1" t="s">
        <v>799</v>
      </c>
      <c r="D240" s="1" t="s">
        <v>896</v>
      </c>
    </row>
    <row r="241" spans="1:4">
      <c r="A241" s="1" t="s">
        <v>581</v>
      </c>
      <c r="B241" s="1" t="s">
        <v>798</v>
      </c>
      <c r="C241" s="1" t="s">
        <v>799</v>
      </c>
      <c r="D241" s="1" t="s">
        <v>807</v>
      </c>
    </row>
    <row r="242" spans="1:4">
      <c r="A242" s="1" t="s">
        <v>582</v>
      </c>
      <c r="B242" s="1" t="s">
        <v>794</v>
      </c>
      <c r="C242" s="1" t="s">
        <v>799</v>
      </c>
      <c r="D242" s="1" t="s">
        <v>897</v>
      </c>
    </row>
    <row r="243" spans="1:4">
      <c r="A243" s="1" t="s">
        <v>582</v>
      </c>
      <c r="B243" s="1" t="s">
        <v>795</v>
      </c>
      <c r="C243" s="1" t="s">
        <v>799</v>
      </c>
      <c r="D243" s="1" t="s">
        <v>802</v>
      </c>
    </row>
    <row r="244" spans="1:4">
      <c r="A244" s="1" t="s">
        <v>582</v>
      </c>
      <c r="B244" s="1" t="s">
        <v>796</v>
      </c>
      <c r="C244" s="1" t="s">
        <v>799</v>
      </c>
    </row>
    <row r="245" spans="1:4">
      <c r="A245" s="1" t="s">
        <v>582</v>
      </c>
      <c r="B245" s="1" t="s">
        <v>797</v>
      </c>
      <c r="C245" s="1" t="s">
        <v>800</v>
      </c>
      <c r="D245" s="1" t="s">
        <v>898</v>
      </c>
    </row>
    <row r="246" spans="1:4">
      <c r="A246" s="1" t="s">
        <v>582</v>
      </c>
      <c r="B246" s="1" t="s">
        <v>798</v>
      </c>
      <c r="C246" s="1" t="s">
        <v>800</v>
      </c>
      <c r="D246" s="1" t="s">
        <v>899</v>
      </c>
    </row>
    <row r="247" spans="1:4">
      <c r="A247" s="1" t="s">
        <v>583</v>
      </c>
      <c r="B247" s="1" t="s">
        <v>794</v>
      </c>
      <c r="C247" s="1" t="s">
        <v>799</v>
      </c>
      <c r="D247" s="1" t="s">
        <v>900</v>
      </c>
    </row>
    <row r="248" spans="1:4">
      <c r="A248" s="1" t="s">
        <v>583</v>
      </c>
      <c r="B248" s="1" t="s">
        <v>795</v>
      </c>
      <c r="C248" s="1" t="s">
        <v>799</v>
      </c>
      <c r="D248" s="1" t="s">
        <v>802</v>
      </c>
    </row>
    <row r="249" spans="1:4">
      <c r="A249" s="1" t="s">
        <v>583</v>
      </c>
      <c r="B249" s="1" t="s">
        <v>796</v>
      </c>
      <c r="C249" s="1" t="s">
        <v>799</v>
      </c>
    </row>
    <row r="250" spans="1:4">
      <c r="A250" s="1" t="s">
        <v>583</v>
      </c>
      <c r="B250" s="1" t="s">
        <v>797</v>
      </c>
      <c r="C250" s="1" t="s">
        <v>800</v>
      </c>
      <c r="D250" s="1" t="s">
        <v>901</v>
      </c>
    </row>
    <row r="251" spans="1:4">
      <c r="A251" s="1" t="s">
        <v>583</v>
      </c>
      <c r="B251" s="1" t="s">
        <v>798</v>
      </c>
      <c r="C251" s="1" t="s">
        <v>800</v>
      </c>
      <c r="D251" s="1" t="s">
        <v>872</v>
      </c>
    </row>
    <row r="252" spans="1:4">
      <c r="A252" s="1" t="s">
        <v>584</v>
      </c>
      <c r="B252" s="1" t="s">
        <v>794</v>
      </c>
      <c r="C252" s="1" t="s">
        <v>799</v>
      </c>
      <c r="D252" s="1" t="s">
        <v>902</v>
      </c>
    </row>
    <row r="253" spans="1:4">
      <c r="A253" s="1" t="s">
        <v>584</v>
      </c>
      <c r="B253" s="1" t="s">
        <v>795</v>
      </c>
      <c r="C253" s="1" t="s">
        <v>799</v>
      </c>
      <c r="D253" s="1" t="s">
        <v>802</v>
      </c>
    </row>
    <row r="254" spans="1:4">
      <c r="A254" s="1" t="s">
        <v>584</v>
      </c>
      <c r="B254" s="1" t="s">
        <v>796</v>
      </c>
      <c r="C254" s="1" t="s">
        <v>799</v>
      </c>
    </row>
    <row r="255" spans="1:4">
      <c r="A255" s="1" t="s">
        <v>584</v>
      </c>
      <c r="B255" s="1" t="s">
        <v>797</v>
      </c>
      <c r="C255" s="1" t="s">
        <v>800</v>
      </c>
      <c r="D255" s="1" t="s">
        <v>903</v>
      </c>
    </row>
    <row r="256" spans="1:4">
      <c r="A256" s="1" t="s">
        <v>584</v>
      </c>
      <c r="B256" s="1" t="s">
        <v>798</v>
      </c>
      <c r="C256" s="1" t="s">
        <v>799</v>
      </c>
      <c r="D256" s="1" t="s">
        <v>811</v>
      </c>
    </row>
    <row r="257" spans="1:4">
      <c r="A257" s="1" t="s">
        <v>445</v>
      </c>
      <c r="B257" s="1" t="s">
        <v>794</v>
      </c>
      <c r="C257" s="1" t="s">
        <v>799</v>
      </c>
      <c r="D257" s="1" t="s">
        <v>904</v>
      </c>
    </row>
    <row r="258" spans="1:4">
      <c r="A258" s="1" t="s">
        <v>445</v>
      </c>
      <c r="B258" s="1" t="s">
        <v>795</v>
      </c>
      <c r="C258" s="1" t="s">
        <v>799</v>
      </c>
      <c r="D258" s="1" t="s">
        <v>802</v>
      </c>
    </row>
    <row r="259" spans="1:4">
      <c r="A259" s="1" t="s">
        <v>445</v>
      </c>
      <c r="B259" s="1" t="s">
        <v>796</v>
      </c>
      <c r="C259" s="1" t="s">
        <v>799</v>
      </c>
    </row>
    <row r="260" spans="1:4">
      <c r="A260" s="1" t="s">
        <v>445</v>
      </c>
      <c r="B260" s="1" t="s">
        <v>797</v>
      </c>
      <c r="C260" s="1" t="s">
        <v>799</v>
      </c>
      <c r="D260" s="1" t="s">
        <v>905</v>
      </c>
    </row>
    <row r="261" spans="1:4">
      <c r="A261" s="1" t="s">
        <v>445</v>
      </c>
      <c r="B261" s="1" t="s">
        <v>798</v>
      </c>
      <c r="C261" s="1" t="s">
        <v>799</v>
      </c>
      <c r="D261" s="1" t="s">
        <v>906</v>
      </c>
    </row>
    <row r="262" spans="1:4">
      <c r="A262" s="1" t="s">
        <v>446</v>
      </c>
      <c r="B262" s="1" t="s">
        <v>794</v>
      </c>
      <c r="C262" s="1" t="s">
        <v>799</v>
      </c>
      <c r="D262" s="1" t="s">
        <v>907</v>
      </c>
    </row>
    <row r="263" spans="1:4">
      <c r="A263" s="1" t="s">
        <v>446</v>
      </c>
      <c r="B263" s="1" t="s">
        <v>795</v>
      </c>
      <c r="C263" s="1" t="s">
        <v>799</v>
      </c>
      <c r="D263" s="1" t="s">
        <v>802</v>
      </c>
    </row>
    <row r="264" spans="1:4">
      <c r="A264" s="1" t="s">
        <v>446</v>
      </c>
      <c r="B264" s="1" t="s">
        <v>796</v>
      </c>
      <c r="C264" s="1" t="s">
        <v>799</v>
      </c>
    </row>
    <row r="265" spans="1:4">
      <c r="A265" s="1" t="s">
        <v>446</v>
      </c>
      <c r="B265" s="1" t="s">
        <v>797</v>
      </c>
      <c r="C265" s="1" t="s">
        <v>799</v>
      </c>
      <c r="D265" s="1" t="s">
        <v>908</v>
      </c>
    </row>
    <row r="266" spans="1:4">
      <c r="A266" s="1" t="s">
        <v>446</v>
      </c>
      <c r="B266" s="1" t="s">
        <v>798</v>
      </c>
      <c r="C266" s="1" t="s">
        <v>799</v>
      </c>
      <c r="D266" s="1" t="s">
        <v>909</v>
      </c>
    </row>
    <row r="267" spans="1:4">
      <c r="A267" s="1" t="s">
        <v>447</v>
      </c>
      <c r="B267" s="1" t="s">
        <v>794</v>
      </c>
      <c r="C267" s="1" t="s">
        <v>799</v>
      </c>
      <c r="D267" s="1" t="s">
        <v>910</v>
      </c>
    </row>
    <row r="268" spans="1:4">
      <c r="A268" s="1" t="s">
        <v>447</v>
      </c>
      <c r="B268" s="1" t="s">
        <v>795</v>
      </c>
      <c r="C268" s="1" t="s">
        <v>799</v>
      </c>
      <c r="D268" s="1" t="s">
        <v>802</v>
      </c>
    </row>
    <row r="269" spans="1:4">
      <c r="A269" s="1" t="s">
        <v>447</v>
      </c>
      <c r="B269" s="1" t="s">
        <v>796</v>
      </c>
      <c r="C269" s="1" t="s">
        <v>799</v>
      </c>
    </row>
    <row r="270" spans="1:4">
      <c r="A270" s="1" t="s">
        <v>447</v>
      </c>
      <c r="B270" s="1" t="s">
        <v>797</v>
      </c>
      <c r="C270" s="1" t="s">
        <v>799</v>
      </c>
      <c r="D270" s="1" t="s">
        <v>911</v>
      </c>
    </row>
    <row r="271" spans="1:4">
      <c r="A271" s="1" t="s">
        <v>447</v>
      </c>
      <c r="B271" s="1" t="s">
        <v>798</v>
      </c>
      <c r="C271" s="1" t="s">
        <v>799</v>
      </c>
      <c r="D271" s="1" t="s">
        <v>912</v>
      </c>
    </row>
    <row r="272" spans="1:4">
      <c r="A272" s="1" t="s">
        <v>448</v>
      </c>
      <c r="B272" s="1" t="s">
        <v>794</v>
      </c>
      <c r="C272" s="1" t="s">
        <v>799</v>
      </c>
      <c r="D272" s="1" t="s">
        <v>913</v>
      </c>
    </row>
    <row r="273" spans="1:4">
      <c r="A273" s="1" t="s">
        <v>448</v>
      </c>
      <c r="B273" s="1" t="s">
        <v>795</v>
      </c>
      <c r="C273" s="1" t="s">
        <v>799</v>
      </c>
      <c r="D273" s="1" t="s">
        <v>802</v>
      </c>
    </row>
    <row r="274" spans="1:4">
      <c r="A274" s="1" t="s">
        <v>448</v>
      </c>
      <c r="B274" s="1" t="s">
        <v>796</v>
      </c>
      <c r="C274" s="1" t="s">
        <v>799</v>
      </c>
    </row>
    <row r="275" spans="1:4">
      <c r="A275" s="1" t="s">
        <v>448</v>
      </c>
      <c r="B275" s="1" t="s">
        <v>797</v>
      </c>
      <c r="C275" s="1" t="s">
        <v>799</v>
      </c>
      <c r="D275" s="1" t="s">
        <v>914</v>
      </c>
    </row>
    <row r="276" spans="1:4">
      <c r="A276" s="1" t="s">
        <v>448</v>
      </c>
      <c r="B276" s="1" t="s">
        <v>798</v>
      </c>
      <c r="C276" s="1" t="s">
        <v>799</v>
      </c>
      <c r="D276" s="1" t="s">
        <v>915</v>
      </c>
    </row>
    <row r="277" spans="1:4">
      <c r="A277" s="1" t="s">
        <v>449</v>
      </c>
      <c r="B277" s="1" t="s">
        <v>794</v>
      </c>
      <c r="C277" s="1" t="s">
        <v>799</v>
      </c>
      <c r="D277" s="1" t="s">
        <v>916</v>
      </c>
    </row>
    <row r="278" spans="1:4">
      <c r="A278" s="1" t="s">
        <v>449</v>
      </c>
      <c r="B278" s="1" t="s">
        <v>795</v>
      </c>
      <c r="C278" s="1" t="s">
        <v>799</v>
      </c>
      <c r="D278" s="1" t="s">
        <v>802</v>
      </c>
    </row>
    <row r="279" spans="1:4">
      <c r="A279" s="1" t="s">
        <v>449</v>
      </c>
      <c r="B279" s="1" t="s">
        <v>796</v>
      </c>
      <c r="C279" s="1" t="s">
        <v>799</v>
      </c>
    </row>
    <row r="280" spans="1:4">
      <c r="A280" s="1" t="s">
        <v>449</v>
      </c>
      <c r="B280" s="1" t="s">
        <v>797</v>
      </c>
      <c r="C280" s="1" t="s">
        <v>799</v>
      </c>
      <c r="D280" s="1" t="s">
        <v>917</v>
      </c>
    </row>
    <row r="281" spans="1:4">
      <c r="A281" s="1" t="s">
        <v>449</v>
      </c>
      <c r="B281" s="1" t="s">
        <v>798</v>
      </c>
      <c r="C281" s="1" t="s">
        <v>799</v>
      </c>
      <c r="D281" s="1" t="s">
        <v>918</v>
      </c>
    </row>
    <row r="282" spans="1:4">
      <c r="A282" s="1" t="s">
        <v>450</v>
      </c>
      <c r="B282" s="1" t="s">
        <v>794</v>
      </c>
      <c r="C282" s="1" t="s">
        <v>799</v>
      </c>
      <c r="D282" s="1" t="s">
        <v>919</v>
      </c>
    </row>
    <row r="283" spans="1:4">
      <c r="A283" s="1" t="s">
        <v>450</v>
      </c>
      <c r="B283" s="1" t="s">
        <v>795</v>
      </c>
      <c r="C283" s="1" t="s">
        <v>799</v>
      </c>
      <c r="D283" s="1" t="s">
        <v>802</v>
      </c>
    </row>
    <row r="284" spans="1:4">
      <c r="A284" s="1" t="s">
        <v>450</v>
      </c>
      <c r="B284" s="1" t="s">
        <v>796</v>
      </c>
      <c r="C284" s="1" t="s">
        <v>799</v>
      </c>
    </row>
    <row r="285" spans="1:4">
      <c r="A285" s="1" t="s">
        <v>450</v>
      </c>
      <c r="B285" s="1" t="s">
        <v>797</v>
      </c>
      <c r="C285" s="1" t="s">
        <v>799</v>
      </c>
      <c r="D285" s="1" t="s">
        <v>920</v>
      </c>
    </row>
    <row r="286" spans="1:4">
      <c r="A286" s="1" t="s">
        <v>450</v>
      </c>
      <c r="B286" s="1" t="s">
        <v>798</v>
      </c>
      <c r="C286" s="1" t="s">
        <v>799</v>
      </c>
      <c r="D286" s="1" t="s">
        <v>921</v>
      </c>
    </row>
    <row r="287" spans="1:4">
      <c r="A287" s="1" t="s">
        <v>451</v>
      </c>
      <c r="B287" s="1" t="s">
        <v>794</v>
      </c>
      <c r="C287" s="1" t="s">
        <v>799</v>
      </c>
      <c r="D287" s="1" t="s">
        <v>922</v>
      </c>
    </row>
    <row r="288" spans="1:4">
      <c r="A288" s="1" t="s">
        <v>451</v>
      </c>
      <c r="B288" s="1" t="s">
        <v>795</v>
      </c>
      <c r="C288" s="1" t="s">
        <v>799</v>
      </c>
      <c r="D288" s="1" t="s">
        <v>802</v>
      </c>
    </row>
    <row r="289" spans="1:4">
      <c r="A289" s="1" t="s">
        <v>451</v>
      </c>
      <c r="B289" s="1" t="s">
        <v>796</v>
      </c>
      <c r="C289" s="1" t="s">
        <v>799</v>
      </c>
    </row>
    <row r="290" spans="1:4">
      <c r="A290" s="1" t="s">
        <v>451</v>
      </c>
      <c r="B290" s="1" t="s">
        <v>797</v>
      </c>
      <c r="C290" s="1" t="s">
        <v>799</v>
      </c>
      <c r="D290" s="1" t="s">
        <v>923</v>
      </c>
    </row>
    <row r="291" spans="1:4">
      <c r="A291" s="1" t="s">
        <v>451</v>
      </c>
      <c r="B291" s="1" t="s">
        <v>798</v>
      </c>
      <c r="C291" s="1" t="s">
        <v>799</v>
      </c>
      <c r="D291" s="1" t="s">
        <v>924</v>
      </c>
    </row>
    <row r="292" spans="1:4">
      <c r="A292" s="1" t="s">
        <v>452</v>
      </c>
      <c r="B292" s="1" t="s">
        <v>794</v>
      </c>
      <c r="C292" s="1" t="s">
        <v>799</v>
      </c>
      <c r="D292" s="1" t="s">
        <v>925</v>
      </c>
    </row>
    <row r="293" spans="1:4">
      <c r="A293" s="1" t="s">
        <v>452</v>
      </c>
      <c r="B293" s="1" t="s">
        <v>795</v>
      </c>
      <c r="C293" s="1" t="s">
        <v>799</v>
      </c>
      <c r="D293" s="1" t="s">
        <v>802</v>
      </c>
    </row>
    <row r="294" spans="1:4">
      <c r="A294" s="1" t="s">
        <v>452</v>
      </c>
      <c r="B294" s="1" t="s">
        <v>796</v>
      </c>
      <c r="C294" s="1" t="s">
        <v>799</v>
      </c>
    </row>
    <row r="295" spans="1:4">
      <c r="A295" s="1" t="s">
        <v>452</v>
      </c>
      <c r="B295" s="1" t="s">
        <v>797</v>
      </c>
      <c r="C295" s="1" t="s">
        <v>799</v>
      </c>
      <c r="D295" s="1" t="s">
        <v>926</v>
      </c>
    </row>
    <row r="296" spans="1:4">
      <c r="A296" s="1" t="s">
        <v>452</v>
      </c>
      <c r="B296" s="1" t="s">
        <v>798</v>
      </c>
      <c r="C296" s="1" t="s">
        <v>799</v>
      </c>
      <c r="D296" s="1" t="s">
        <v>927</v>
      </c>
    </row>
    <row r="297" spans="1:4">
      <c r="A297" s="1" t="s">
        <v>453</v>
      </c>
      <c r="B297" s="1" t="s">
        <v>794</v>
      </c>
      <c r="C297" s="1" t="s">
        <v>799</v>
      </c>
      <c r="D297" s="1" t="s">
        <v>928</v>
      </c>
    </row>
    <row r="298" spans="1:4">
      <c r="A298" s="1" t="s">
        <v>453</v>
      </c>
      <c r="B298" s="1" t="s">
        <v>795</v>
      </c>
      <c r="C298" s="1" t="s">
        <v>799</v>
      </c>
      <c r="D298" s="1" t="s">
        <v>802</v>
      </c>
    </row>
    <row r="299" spans="1:4">
      <c r="A299" s="1" t="s">
        <v>453</v>
      </c>
      <c r="B299" s="1" t="s">
        <v>796</v>
      </c>
      <c r="C299" s="1" t="s">
        <v>799</v>
      </c>
    </row>
    <row r="300" spans="1:4">
      <c r="A300" s="1" t="s">
        <v>453</v>
      </c>
      <c r="B300" s="1" t="s">
        <v>797</v>
      </c>
      <c r="C300" s="1" t="s">
        <v>799</v>
      </c>
      <c r="D300" s="1" t="s">
        <v>929</v>
      </c>
    </row>
    <row r="301" spans="1:4">
      <c r="A301" s="1" t="s">
        <v>453</v>
      </c>
      <c r="B301" s="1" t="s">
        <v>798</v>
      </c>
      <c r="C301" s="1" t="s">
        <v>799</v>
      </c>
      <c r="D301" s="1" t="s">
        <v>930</v>
      </c>
    </row>
    <row r="302" spans="1:4">
      <c r="A302" s="1" t="s">
        <v>454</v>
      </c>
      <c r="B302" s="1" t="s">
        <v>794</v>
      </c>
      <c r="C302" s="1" t="s">
        <v>799</v>
      </c>
      <c r="D302" s="1" t="s">
        <v>931</v>
      </c>
    </row>
    <row r="303" spans="1:4">
      <c r="A303" s="1" t="s">
        <v>454</v>
      </c>
      <c r="B303" s="1" t="s">
        <v>795</v>
      </c>
      <c r="C303" s="1" t="s">
        <v>799</v>
      </c>
      <c r="D303" s="1" t="s">
        <v>802</v>
      </c>
    </row>
    <row r="304" spans="1:4">
      <c r="A304" s="1" t="s">
        <v>454</v>
      </c>
      <c r="B304" s="1" t="s">
        <v>796</v>
      </c>
      <c r="C304" s="1" t="s">
        <v>799</v>
      </c>
    </row>
    <row r="305" spans="1:4">
      <c r="A305" s="1" t="s">
        <v>454</v>
      </c>
      <c r="B305" s="1" t="s">
        <v>797</v>
      </c>
      <c r="C305" s="1" t="s">
        <v>799</v>
      </c>
      <c r="D305" s="1" t="s">
        <v>932</v>
      </c>
    </row>
    <row r="306" spans="1:4">
      <c r="A306" s="1" t="s">
        <v>454</v>
      </c>
      <c r="B306" s="1" t="s">
        <v>798</v>
      </c>
      <c r="C306" s="1" t="s">
        <v>799</v>
      </c>
      <c r="D306" s="1" t="s">
        <v>933</v>
      </c>
    </row>
    <row r="307" spans="1:4">
      <c r="A307" s="1" t="s">
        <v>455</v>
      </c>
      <c r="B307" s="1" t="s">
        <v>794</v>
      </c>
      <c r="C307" s="1" t="s">
        <v>799</v>
      </c>
      <c r="D307" s="1" t="s">
        <v>934</v>
      </c>
    </row>
    <row r="308" spans="1:4">
      <c r="A308" s="1" t="s">
        <v>455</v>
      </c>
      <c r="B308" s="1" t="s">
        <v>795</v>
      </c>
      <c r="C308" s="1" t="s">
        <v>799</v>
      </c>
      <c r="D308" s="1" t="s">
        <v>802</v>
      </c>
    </row>
    <row r="309" spans="1:4">
      <c r="A309" s="1" t="s">
        <v>455</v>
      </c>
      <c r="B309" s="1" t="s">
        <v>796</v>
      </c>
      <c r="C309" s="1" t="s">
        <v>799</v>
      </c>
    </row>
    <row r="310" spans="1:4">
      <c r="A310" s="1" t="s">
        <v>455</v>
      </c>
      <c r="B310" s="1" t="s">
        <v>797</v>
      </c>
      <c r="C310" s="1" t="s">
        <v>799</v>
      </c>
      <c r="D310" s="1" t="s">
        <v>935</v>
      </c>
    </row>
    <row r="311" spans="1:4">
      <c r="A311" s="1" t="s">
        <v>455</v>
      </c>
      <c r="B311" s="1" t="s">
        <v>798</v>
      </c>
      <c r="C311" s="1" t="s">
        <v>799</v>
      </c>
      <c r="D311" s="1" t="s">
        <v>936</v>
      </c>
    </row>
    <row r="312" spans="1:4">
      <c r="A312" s="1" t="s">
        <v>456</v>
      </c>
      <c r="B312" s="1" t="s">
        <v>794</v>
      </c>
      <c r="C312" s="1" t="s">
        <v>799</v>
      </c>
      <c r="D312" s="1" t="s">
        <v>937</v>
      </c>
    </row>
    <row r="313" spans="1:4">
      <c r="A313" s="1" t="s">
        <v>456</v>
      </c>
      <c r="B313" s="1" t="s">
        <v>795</v>
      </c>
      <c r="C313" s="1" t="s">
        <v>799</v>
      </c>
      <c r="D313" s="1" t="s">
        <v>802</v>
      </c>
    </row>
    <row r="314" spans="1:4">
      <c r="A314" s="1" t="s">
        <v>456</v>
      </c>
      <c r="B314" s="1" t="s">
        <v>796</v>
      </c>
      <c r="C314" s="1" t="s">
        <v>799</v>
      </c>
    </row>
    <row r="315" spans="1:4">
      <c r="A315" s="1" t="s">
        <v>456</v>
      </c>
      <c r="B315" s="1" t="s">
        <v>797</v>
      </c>
      <c r="C315" s="1" t="s">
        <v>799</v>
      </c>
      <c r="D315" s="1" t="s">
        <v>938</v>
      </c>
    </row>
    <row r="316" spans="1:4">
      <c r="A316" s="1" t="s">
        <v>456</v>
      </c>
      <c r="B316" s="1" t="s">
        <v>798</v>
      </c>
      <c r="C316" s="1" t="s">
        <v>799</v>
      </c>
      <c r="D316" s="1" t="s">
        <v>939</v>
      </c>
    </row>
    <row r="317" spans="1:4">
      <c r="A317" s="1" t="s">
        <v>457</v>
      </c>
      <c r="B317" s="1" t="s">
        <v>794</v>
      </c>
      <c r="C317" s="1" t="s">
        <v>799</v>
      </c>
      <c r="D317" s="1" t="s">
        <v>940</v>
      </c>
    </row>
    <row r="318" spans="1:4">
      <c r="A318" s="1" t="s">
        <v>457</v>
      </c>
      <c r="B318" s="1" t="s">
        <v>795</v>
      </c>
      <c r="C318" s="1" t="s">
        <v>799</v>
      </c>
      <c r="D318" s="1" t="s">
        <v>802</v>
      </c>
    </row>
    <row r="319" spans="1:4">
      <c r="A319" s="1" t="s">
        <v>457</v>
      </c>
      <c r="B319" s="1" t="s">
        <v>796</v>
      </c>
      <c r="C319" s="1" t="s">
        <v>799</v>
      </c>
    </row>
    <row r="320" spans="1:4">
      <c r="A320" s="1" t="s">
        <v>457</v>
      </c>
      <c r="B320" s="1" t="s">
        <v>797</v>
      </c>
      <c r="C320" s="1" t="s">
        <v>799</v>
      </c>
      <c r="D320" s="1" t="s">
        <v>941</v>
      </c>
    </row>
    <row r="321" spans="1:4">
      <c r="A321" s="1" t="s">
        <v>457</v>
      </c>
      <c r="B321" s="1" t="s">
        <v>798</v>
      </c>
      <c r="C321" s="1" t="s">
        <v>799</v>
      </c>
      <c r="D321" s="1" t="s">
        <v>942</v>
      </c>
    </row>
    <row r="322" spans="1:4">
      <c r="A322" s="1" t="s">
        <v>458</v>
      </c>
      <c r="B322" s="1" t="s">
        <v>794</v>
      </c>
      <c r="C322" s="1" t="s">
        <v>799</v>
      </c>
      <c r="D322" s="1" t="s">
        <v>943</v>
      </c>
    </row>
    <row r="323" spans="1:4">
      <c r="A323" s="1" t="s">
        <v>458</v>
      </c>
      <c r="B323" s="1" t="s">
        <v>795</v>
      </c>
      <c r="C323" s="1" t="s">
        <v>799</v>
      </c>
      <c r="D323" s="1" t="s">
        <v>802</v>
      </c>
    </row>
    <row r="324" spans="1:4">
      <c r="A324" s="1" t="s">
        <v>458</v>
      </c>
      <c r="B324" s="1" t="s">
        <v>796</v>
      </c>
      <c r="C324" s="1" t="s">
        <v>799</v>
      </c>
    </row>
    <row r="325" spans="1:4">
      <c r="A325" s="1" t="s">
        <v>458</v>
      </c>
      <c r="B325" s="1" t="s">
        <v>797</v>
      </c>
      <c r="C325" s="1" t="s">
        <v>799</v>
      </c>
      <c r="D325" s="1" t="s">
        <v>944</v>
      </c>
    </row>
    <row r="326" spans="1:4">
      <c r="A326" s="1" t="s">
        <v>458</v>
      </c>
      <c r="B326" s="1" t="s">
        <v>798</v>
      </c>
      <c r="C326" s="1" t="s">
        <v>799</v>
      </c>
      <c r="D326" s="1" t="s">
        <v>945</v>
      </c>
    </row>
    <row r="327" spans="1:4">
      <c r="A327" s="1" t="s">
        <v>459</v>
      </c>
      <c r="B327" s="1" t="s">
        <v>794</v>
      </c>
      <c r="C327" s="1" t="s">
        <v>799</v>
      </c>
      <c r="D327" s="1" t="s">
        <v>946</v>
      </c>
    </row>
    <row r="328" spans="1:4">
      <c r="A328" s="1" t="s">
        <v>459</v>
      </c>
      <c r="B328" s="1" t="s">
        <v>795</v>
      </c>
      <c r="C328" s="1" t="s">
        <v>799</v>
      </c>
      <c r="D328" s="1" t="s">
        <v>802</v>
      </c>
    </row>
    <row r="329" spans="1:4">
      <c r="A329" s="1" t="s">
        <v>459</v>
      </c>
      <c r="B329" s="1" t="s">
        <v>796</v>
      </c>
      <c r="C329" s="1" t="s">
        <v>799</v>
      </c>
    </row>
    <row r="330" spans="1:4">
      <c r="A330" s="1" t="s">
        <v>459</v>
      </c>
      <c r="B330" s="1" t="s">
        <v>797</v>
      </c>
      <c r="C330" s="1" t="s">
        <v>799</v>
      </c>
      <c r="D330" s="1" t="s">
        <v>947</v>
      </c>
    </row>
    <row r="331" spans="1:4">
      <c r="A331" s="1" t="s">
        <v>459</v>
      </c>
      <c r="B331" s="1" t="s">
        <v>798</v>
      </c>
      <c r="C331" s="1" t="s">
        <v>799</v>
      </c>
      <c r="D331" s="1" t="s">
        <v>948</v>
      </c>
    </row>
    <row r="332" spans="1:4">
      <c r="A332" s="1" t="s">
        <v>460</v>
      </c>
      <c r="B332" s="1" t="s">
        <v>794</v>
      </c>
      <c r="C332" s="1" t="s">
        <v>799</v>
      </c>
      <c r="D332" s="1" t="s">
        <v>949</v>
      </c>
    </row>
    <row r="333" spans="1:4">
      <c r="A333" s="1" t="s">
        <v>460</v>
      </c>
      <c r="B333" s="1" t="s">
        <v>795</v>
      </c>
      <c r="C333" s="1" t="s">
        <v>799</v>
      </c>
      <c r="D333" s="1" t="s">
        <v>802</v>
      </c>
    </row>
    <row r="334" spans="1:4">
      <c r="A334" s="1" t="s">
        <v>460</v>
      </c>
      <c r="B334" s="1" t="s">
        <v>796</v>
      </c>
      <c r="C334" s="1" t="s">
        <v>799</v>
      </c>
    </row>
    <row r="335" spans="1:4">
      <c r="A335" s="1" t="s">
        <v>460</v>
      </c>
      <c r="B335" s="1" t="s">
        <v>797</v>
      </c>
      <c r="C335" s="1" t="s">
        <v>799</v>
      </c>
      <c r="D335" s="1" t="s">
        <v>950</v>
      </c>
    </row>
    <row r="336" spans="1:4">
      <c r="A336" s="1" t="s">
        <v>460</v>
      </c>
      <c r="B336" s="1" t="s">
        <v>798</v>
      </c>
      <c r="C336" s="1" t="s">
        <v>799</v>
      </c>
      <c r="D336" s="1" t="s">
        <v>951</v>
      </c>
    </row>
    <row r="337" spans="1:4">
      <c r="A337" s="1" t="s">
        <v>461</v>
      </c>
      <c r="B337" s="1" t="s">
        <v>794</v>
      </c>
      <c r="C337" s="1" t="s">
        <v>799</v>
      </c>
      <c r="D337" s="1" t="s">
        <v>952</v>
      </c>
    </row>
    <row r="338" spans="1:4">
      <c r="A338" s="1" t="s">
        <v>461</v>
      </c>
      <c r="B338" s="1" t="s">
        <v>795</v>
      </c>
      <c r="C338" s="1" t="s">
        <v>799</v>
      </c>
      <c r="D338" s="1" t="s">
        <v>802</v>
      </c>
    </row>
    <row r="339" spans="1:4">
      <c r="A339" s="1" t="s">
        <v>461</v>
      </c>
      <c r="B339" s="1" t="s">
        <v>796</v>
      </c>
      <c r="C339" s="1" t="s">
        <v>799</v>
      </c>
    </row>
    <row r="340" spans="1:4">
      <c r="A340" s="1" t="s">
        <v>461</v>
      </c>
      <c r="B340" s="1" t="s">
        <v>797</v>
      </c>
      <c r="C340" s="1" t="s">
        <v>799</v>
      </c>
      <c r="D340" s="1" t="s">
        <v>953</v>
      </c>
    </row>
    <row r="341" spans="1:4">
      <c r="A341" s="1" t="s">
        <v>461</v>
      </c>
      <c r="B341" s="1" t="s">
        <v>798</v>
      </c>
      <c r="C341" s="1" t="s">
        <v>799</v>
      </c>
      <c r="D341" s="1" t="s">
        <v>954</v>
      </c>
    </row>
    <row r="342" spans="1:4">
      <c r="A342" s="1" t="s">
        <v>462</v>
      </c>
      <c r="B342" s="1" t="s">
        <v>794</v>
      </c>
      <c r="C342" s="1" t="s">
        <v>799</v>
      </c>
      <c r="D342" s="1" t="s">
        <v>955</v>
      </c>
    </row>
    <row r="343" spans="1:4">
      <c r="A343" s="1" t="s">
        <v>462</v>
      </c>
      <c r="B343" s="1" t="s">
        <v>795</v>
      </c>
      <c r="C343" s="1" t="s">
        <v>799</v>
      </c>
      <c r="D343" s="1" t="s">
        <v>802</v>
      </c>
    </row>
    <row r="344" spans="1:4">
      <c r="A344" s="1" t="s">
        <v>462</v>
      </c>
      <c r="B344" s="1" t="s">
        <v>796</v>
      </c>
      <c r="C344" s="1" t="s">
        <v>799</v>
      </c>
    </row>
    <row r="345" spans="1:4">
      <c r="A345" s="1" t="s">
        <v>462</v>
      </c>
      <c r="B345" s="1" t="s">
        <v>797</v>
      </c>
      <c r="C345" s="1" t="s">
        <v>799</v>
      </c>
      <c r="D345" s="1" t="s">
        <v>956</v>
      </c>
    </row>
    <row r="346" spans="1:4">
      <c r="A346" s="1" t="s">
        <v>462</v>
      </c>
      <c r="B346" s="1" t="s">
        <v>798</v>
      </c>
      <c r="C346" s="1" t="s">
        <v>799</v>
      </c>
      <c r="D346" s="1" t="s">
        <v>957</v>
      </c>
    </row>
    <row r="347" spans="1:4">
      <c r="A347" s="1" t="s">
        <v>463</v>
      </c>
      <c r="B347" s="1" t="s">
        <v>794</v>
      </c>
      <c r="C347" s="1" t="s">
        <v>799</v>
      </c>
      <c r="D347" s="1" t="s">
        <v>958</v>
      </c>
    </row>
    <row r="348" spans="1:4">
      <c r="A348" s="1" t="s">
        <v>463</v>
      </c>
      <c r="B348" s="1" t="s">
        <v>795</v>
      </c>
      <c r="C348" s="1" t="s">
        <v>799</v>
      </c>
      <c r="D348" s="1" t="s">
        <v>802</v>
      </c>
    </row>
    <row r="349" spans="1:4">
      <c r="A349" s="1" t="s">
        <v>463</v>
      </c>
      <c r="B349" s="1" t="s">
        <v>796</v>
      </c>
      <c r="C349" s="1" t="s">
        <v>799</v>
      </c>
    </row>
    <row r="350" spans="1:4">
      <c r="A350" s="1" t="s">
        <v>463</v>
      </c>
      <c r="B350" s="1" t="s">
        <v>797</v>
      </c>
      <c r="C350" s="1" t="s">
        <v>799</v>
      </c>
      <c r="D350" s="1" t="s">
        <v>959</v>
      </c>
    </row>
    <row r="351" spans="1:4">
      <c r="A351" s="1" t="s">
        <v>463</v>
      </c>
      <c r="B351" s="1" t="s">
        <v>798</v>
      </c>
      <c r="C351" s="1" t="s">
        <v>799</v>
      </c>
      <c r="D351" s="1" t="s">
        <v>960</v>
      </c>
    </row>
    <row r="352" spans="1:4">
      <c r="A352" s="1" t="s">
        <v>464</v>
      </c>
      <c r="B352" s="1" t="s">
        <v>794</v>
      </c>
      <c r="C352" s="1" t="s">
        <v>799</v>
      </c>
      <c r="D352" s="1" t="s">
        <v>961</v>
      </c>
    </row>
    <row r="353" spans="1:4">
      <c r="A353" s="1" t="s">
        <v>464</v>
      </c>
      <c r="B353" s="1" t="s">
        <v>795</v>
      </c>
      <c r="C353" s="1" t="s">
        <v>799</v>
      </c>
      <c r="D353" s="1" t="s">
        <v>802</v>
      </c>
    </row>
    <row r="354" spans="1:4">
      <c r="A354" s="1" t="s">
        <v>464</v>
      </c>
      <c r="B354" s="1" t="s">
        <v>796</v>
      </c>
      <c r="C354" s="1" t="s">
        <v>799</v>
      </c>
    </row>
    <row r="355" spans="1:4">
      <c r="A355" s="1" t="s">
        <v>464</v>
      </c>
      <c r="B355" s="1" t="s">
        <v>797</v>
      </c>
      <c r="C355" s="1" t="s">
        <v>799</v>
      </c>
      <c r="D355" s="1" t="s">
        <v>962</v>
      </c>
    </row>
    <row r="356" spans="1:4">
      <c r="A356" s="1" t="s">
        <v>464</v>
      </c>
      <c r="B356" s="1" t="s">
        <v>798</v>
      </c>
      <c r="C356" s="1" t="s">
        <v>799</v>
      </c>
      <c r="D356" s="1" t="s">
        <v>963</v>
      </c>
    </row>
    <row r="357" spans="1:4">
      <c r="A357" s="1" t="s">
        <v>465</v>
      </c>
      <c r="B357" s="1" t="s">
        <v>794</v>
      </c>
      <c r="C357" s="1" t="s">
        <v>799</v>
      </c>
      <c r="D357" s="1" t="s">
        <v>964</v>
      </c>
    </row>
    <row r="358" spans="1:4">
      <c r="A358" s="1" t="s">
        <v>465</v>
      </c>
      <c r="B358" s="1" t="s">
        <v>795</v>
      </c>
      <c r="C358" s="1" t="s">
        <v>799</v>
      </c>
      <c r="D358" s="1" t="s">
        <v>802</v>
      </c>
    </row>
    <row r="359" spans="1:4">
      <c r="A359" s="1" t="s">
        <v>465</v>
      </c>
      <c r="B359" s="1" t="s">
        <v>796</v>
      </c>
      <c r="C359" s="1" t="s">
        <v>799</v>
      </c>
    </row>
    <row r="360" spans="1:4">
      <c r="A360" s="1" t="s">
        <v>465</v>
      </c>
      <c r="B360" s="1" t="s">
        <v>797</v>
      </c>
      <c r="C360" s="1" t="s">
        <v>799</v>
      </c>
      <c r="D360" s="1" t="s">
        <v>965</v>
      </c>
    </row>
    <row r="361" spans="1:4">
      <c r="A361" s="1" t="s">
        <v>465</v>
      </c>
      <c r="B361" s="1" t="s">
        <v>798</v>
      </c>
      <c r="C361" s="1" t="s">
        <v>799</v>
      </c>
      <c r="D361" s="1" t="s">
        <v>966</v>
      </c>
    </row>
    <row r="362" spans="1:4">
      <c r="A362" s="1" t="s">
        <v>466</v>
      </c>
      <c r="B362" s="1" t="s">
        <v>794</v>
      </c>
      <c r="C362" s="1" t="s">
        <v>799</v>
      </c>
      <c r="D362" s="1" t="s">
        <v>967</v>
      </c>
    </row>
    <row r="363" spans="1:4">
      <c r="A363" s="1" t="s">
        <v>466</v>
      </c>
      <c r="B363" s="1" t="s">
        <v>795</v>
      </c>
      <c r="C363" s="1" t="s">
        <v>799</v>
      </c>
      <c r="D363" s="1" t="s">
        <v>802</v>
      </c>
    </row>
    <row r="364" spans="1:4">
      <c r="A364" s="1" t="s">
        <v>466</v>
      </c>
      <c r="B364" s="1" t="s">
        <v>796</v>
      </c>
      <c r="C364" s="1" t="s">
        <v>799</v>
      </c>
    </row>
    <row r="365" spans="1:4">
      <c r="A365" s="1" t="s">
        <v>466</v>
      </c>
      <c r="B365" s="1" t="s">
        <v>797</v>
      </c>
      <c r="C365" s="1" t="s">
        <v>799</v>
      </c>
      <c r="D365" s="1" t="s">
        <v>968</v>
      </c>
    </row>
    <row r="366" spans="1:4">
      <c r="A366" s="1" t="s">
        <v>466</v>
      </c>
      <c r="B366" s="1" t="s">
        <v>798</v>
      </c>
      <c r="C366" s="1" t="s">
        <v>799</v>
      </c>
      <c r="D366" s="1" t="s">
        <v>969</v>
      </c>
    </row>
    <row r="367" spans="1:4">
      <c r="A367" s="1" t="s">
        <v>467</v>
      </c>
      <c r="B367" s="1" t="s">
        <v>794</v>
      </c>
      <c r="C367" s="1" t="s">
        <v>799</v>
      </c>
      <c r="D367" s="1" t="s">
        <v>970</v>
      </c>
    </row>
    <row r="368" spans="1:4">
      <c r="A368" s="1" t="s">
        <v>467</v>
      </c>
      <c r="B368" s="1" t="s">
        <v>795</v>
      </c>
      <c r="C368" s="1" t="s">
        <v>799</v>
      </c>
      <c r="D368" s="1" t="s">
        <v>802</v>
      </c>
    </row>
    <row r="369" spans="1:4">
      <c r="A369" s="1" t="s">
        <v>467</v>
      </c>
      <c r="B369" s="1" t="s">
        <v>796</v>
      </c>
      <c r="C369" s="1" t="s">
        <v>799</v>
      </c>
    </row>
    <row r="370" spans="1:4">
      <c r="A370" s="1" t="s">
        <v>467</v>
      </c>
      <c r="B370" s="1" t="s">
        <v>797</v>
      </c>
      <c r="C370" s="1" t="s">
        <v>799</v>
      </c>
      <c r="D370" s="1" t="s">
        <v>971</v>
      </c>
    </row>
    <row r="371" spans="1:4">
      <c r="A371" s="1" t="s">
        <v>467</v>
      </c>
      <c r="B371" s="1" t="s">
        <v>798</v>
      </c>
      <c r="C371" s="1" t="s">
        <v>799</v>
      </c>
      <c r="D371" s="1" t="s">
        <v>972</v>
      </c>
    </row>
    <row r="372" spans="1:4">
      <c r="A372" s="1" t="s">
        <v>468</v>
      </c>
      <c r="B372" s="1" t="s">
        <v>794</v>
      </c>
      <c r="C372" s="1" t="s">
        <v>799</v>
      </c>
      <c r="D372" s="1" t="s">
        <v>973</v>
      </c>
    </row>
    <row r="373" spans="1:4">
      <c r="A373" s="1" t="s">
        <v>468</v>
      </c>
      <c r="B373" s="1" t="s">
        <v>795</v>
      </c>
      <c r="C373" s="1" t="s">
        <v>799</v>
      </c>
      <c r="D373" s="1" t="s">
        <v>802</v>
      </c>
    </row>
    <row r="374" spans="1:4">
      <c r="A374" s="1" t="s">
        <v>468</v>
      </c>
      <c r="B374" s="1" t="s">
        <v>796</v>
      </c>
      <c r="C374" s="1" t="s">
        <v>799</v>
      </c>
    </row>
    <row r="375" spans="1:4">
      <c r="A375" s="1" t="s">
        <v>468</v>
      </c>
      <c r="B375" s="1" t="s">
        <v>797</v>
      </c>
      <c r="C375" s="1" t="s">
        <v>799</v>
      </c>
      <c r="D375" s="1" t="s">
        <v>974</v>
      </c>
    </row>
    <row r="376" spans="1:4">
      <c r="A376" s="1" t="s">
        <v>468</v>
      </c>
      <c r="B376" s="1" t="s">
        <v>798</v>
      </c>
      <c r="C376" s="1" t="s">
        <v>799</v>
      </c>
      <c r="D376" s="1" t="s">
        <v>975</v>
      </c>
    </row>
    <row r="377" spans="1:4">
      <c r="A377" s="1" t="s">
        <v>469</v>
      </c>
      <c r="B377" s="1" t="s">
        <v>794</v>
      </c>
      <c r="C377" s="1" t="s">
        <v>799</v>
      </c>
      <c r="D377" s="1" t="s">
        <v>976</v>
      </c>
    </row>
    <row r="378" spans="1:4">
      <c r="A378" s="1" t="s">
        <v>469</v>
      </c>
      <c r="B378" s="1" t="s">
        <v>795</v>
      </c>
      <c r="C378" s="1" t="s">
        <v>799</v>
      </c>
      <c r="D378" s="1" t="s">
        <v>802</v>
      </c>
    </row>
    <row r="379" spans="1:4">
      <c r="A379" s="1" t="s">
        <v>469</v>
      </c>
      <c r="B379" s="1" t="s">
        <v>796</v>
      </c>
      <c r="C379" s="1" t="s">
        <v>799</v>
      </c>
    </row>
    <row r="380" spans="1:4">
      <c r="A380" s="1" t="s">
        <v>469</v>
      </c>
      <c r="B380" s="1" t="s">
        <v>797</v>
      </c>
      <c r="C380" s="1" t="s">
        <v>799</v>
      </c>
      <c r="D380" s="1" t="s">
        <v>977</v>
      </c>
    </row>
    <row r="381" spans="1:4">
      <c r="A381" s="1" t="s">
        <v>469</v>
      </c>
      <c r="B381" s="1" t="s">
        <v>798</v>
      </c>
      <c r="C381" s="1" t="s">
        <v>799</v>
      </c>
      <c r="D381" s="1" t="s">
        <v>978</v>
      </c>
    </row>
    <row r="382" spans="1:4">
      <c r="A382" s="1" t="s">
        <v>470</v>
      </c>
      <c r="B382" s="1" t="s">
        <v>794</v>
      </c>
      <c r="C382" s="1" t="s">
        <v>799</v>
      </c>
      <c r="D382" s="1" t="s">
        <v>979</v>
      </c>
    </row>
    <row r="383" spans="1:4">
      <c r="A383" s="1" t="s">
        <v>470</v>
      </c>
      <c r="B383" s="1" t="s">
        <v>795</v>
      </c>
      <c r="C383" s="1" t="s">
        <v>799</v>
      </c>
      <c r="D383" s="1" t="s">
        <v>802</v>
      </c>
    </row>
    <row r="384" spans="1:4">
      <c r="A384" s="1" t="s">
        <v>470</v>
      </c>
      <c r="B384" s="1" t="s">
        <v>796</v>
      </c>
      <c r="C384" s="1" t="s">
        <v>799</v>
      </c>
    </row>
    <row r="385" spans="1:4">
      <c r="A385" s="1" t="s">
        <v>470</v>
      </c>
      <c r="B385" s="1" t="s">
        <v>797</v>
      </c>
      <c r="C385" s="1" t="s">
        <v>799</v>
      </c>
      <c r="D385" s="1" t="s">
        <v>980</v>
      </c>
    </row>
    <row r="386" spans="1:4">
      <c r="A386" s="1" t="s">
        <v>470</v>
      </c>
      <c r="B386" s="1" t="s">
        <v>798</v>
      </c>
      <c r="C386" s="1" t="s">
        <v>799</v>
      </c>
      <c r="D386" s="1" t="s">
        <v>981</v>
      </c>
    </row>
    <row r="387" spans="1:4">
      <c r="A387" s="1" t="s">
        <v>471</v>
      </c>
      <c r="B387" s="1" t="s">
        <v>794</v>
      </c>
      <c r="C387" s="1" t="s">
        <v>799</v>
      </c>
      <c r="D387" s="1" t="s">
        <v>982</v>
      </c>
    </row>
    <row r="388" spans="1:4">
      <c r="A388" s="1" t="s">
        <v>471</v>
      </c>
      <c r="B388" s="1" t="s">
        <v>795</v>
      </c>
      <c r="C388" s="1" t="s">
        <v>799</v>
      </c>
      <c r="D388" s="1" t="s">
        <v>802</v>
      </c>
    </row>
    <row r="389" spans="1:4">
      <c r="A389" s="1" t="s">
        <v>471</v>
      </c>
      <c r="B389" s="1" t="s">
        <v>796</v>
      </c>
      <c r="C389" s="1" t="s">
        <v>799</v>
      </c>
    </row>
    <row r="390" spans="1:4">
      <c r="A390" s="1" t="s">
        <v>471</v>
      </c>
      <c r="B390" s="1" t="s">
        <v>797</v>
      </c>
      <c r="C390" s="1" t="s">
        <v>799</v>
      </c>
      <c r="D390" s="1" t="s">
        <v>983</v>
      </c>
    </row>
    <row r="391" spans="1:4">
      <c r="A391" s="1" t="s">
        <v>471</v>
      </c>
      <c r="B391" s="1" t="s">
        <v>798</v>
      </c>
      <c r="C391" s="1" t="s">
        <v>799</v>
      </c>
      <c r="D391" s="1" t="s">
        <v>984</v>
      </c>
    </row>
    <row r="392" spans="1:4">
      <c r="A392" s="1" t="s">
        <v>472</v>
      </c>
      <c r="B392" s="1" t="s">
        <v>794</v>
      </c>
      <c r="C392" s="1" t="s">
        <v>799</v>
      </c>
      <c r="D392" s="1" t="s">
        <v>985</v>
      </c>
    </row>
    <row r="393" spans="1:4">
      <c r="A393" s="1" t="s">
        <v>472</v>
      </c>
      <c r="B393" s="1" t="s">
        <v>795</v>
      </c>
      <c r="C393" s="1" t="s">
        <v>799</v>
      </c>
      <c r="D393" s="1" t="s">
        <v>802</v>
      </c>
    </row>
    <row r="394" spans="1:4">
      <c r="A394" s="1" t="s">
        <v>472</v>
      </c>
      <c r="B394" s="1" t="s">
        <v>796</v>
      </c>
      <c r="C394" s="1" t="s">
        <v>799</v>
      </c>
    </row>
    <row r="395" spans="1:4">
      <c r="A395" s="1" t="s">
        <v>472</v>
      </c>
      <c r="B395" s="1" t="s">
        <v>797</v>
      </c>
      <c r="C395" s="1" t="s">
        <v>799</v>
      </c>
      <c r="D395" s="1" t="s">
        <v>986</v>
      </c>
    </row>
    <row r="396" spans="1:4">
      <c r="A396" s="1" t="s">
        <v>472</v>
      </c>
      <c r="B396" s="1" t="s">
        <v>798</v>
      </c>
      <c r="C396" s="1" t="s">
        <v>799</v>
      </c>
      <c r="D396" s="1" t="s">
        <v>987</v>
      </c>
    </row>
    <row r="397" spans="1:4">
      <c r="A397" s="1" t="s">
        <v>473</v>
      </c>
      <c r="B397" s="1" t="s">
        <v>794</v>
      </c>
      <c r="C397" s="1" t="s">
        <v>799</v>
      </c>
      <c r="D397" s="1" t="s">
        <v>988</v>
      </c>
    </row>
    <row r="398" spans="1:4">
      <c r="A398" s="1" t="s">
        <v>473</v>
      </c>
      <c r="B398" s="1" t="s">
        <v>795</v>
      </c>
      <c r="C398" s="1" t="s">
        <v>799</v>
      </c>
      <c r="D398" s="1" t="s">
        <v>802</v>
      </c>
    </row>
    <row r="399" spans="1:4">
      <c r="A399" s="1" t="s">
        <v>473</v>
      </c>
      <c r="B399" s="1" t="s">
        <v>796</v>
      </c>
      <c r="C399" s="1" t="s">
        <v>799</v>
      </c>
    </row>
    <row r="400" spans="1:4">
      <c r="A400" s="1" t="s">
        <v>473</v>
      </c>
      <c r="B400" s="1" t="s">
        <v>797</v>
      </c>
      <c r="C400" s="1" t="s">
        <v>799</v>
      </c>
      <c r="D400" s="1" t="s">
        <v>989</v>
      </c>
    </row>
    <row r="401" spans="1:4">
      <c r="A401" s="1" t="s">
        <v>473</v>
      </c>
      <c r="B401" s="1" t="s">
        <v>798</v>
      </c>
      <c r="C401" s="1" t="s">
        <v>799</v>
      </c>
      <c r="D401" s="1" t="s">
        <v>990</v>
      </c>
    </row>
    <row r="402" spans="1:4">
      <c r="A402" s="1" t="s">
        <v>474</v>
      </c>
      <c r="B402" s="1" t="s">
        <v>794</v>
      </c>
      <c r="C402" s="1" t="s">
        <v>799</v>
      </c>
      <c r="D402" s="1" t="s">
        <v>991</v>
      </c>
    </row>
    <row r="403" spans="1:4">
      <c r="A403" s="1" t="s">
        <v>474</v>
      </c>
      <c r="B403" s="1" t="s">
        <v>795</v>
      </c>
      <c r="C403" s="1" t="s">
        <v>799</v>
      </c>
      <c r="D403" s="1" t="s">
        <v>802</v>
      </c>
    </row>
    <row r="404" spans="1:4">
      <c r="A404" s="1" t="s">
        <v>474</v>
      </c>
      <c r="B404" s="1" t="s">
        <v>796</v>
      </c>
      <c r="C404" s="1" t="s">
        <v>799</v>
      </c>
    </row>
    <row r="405" spans="1:4">
      <c r="A405" s="1" t="s">
        <v>474</v>
      </c>
      <c r="B405" s="1" t="s">
        <v>797</v>
      </c>
      <c r="C405" s="1" t="s">
        <v>799</v>
      </c>
      <c r="D405" s="1" t="s">
        <v>992</v>
      </c>
    </row>
    <row r="406" spans="1:4">
      <c r="A406" s="1" t="s">
        <v>474</v>
      </c>
      <c r="B406" s="1" t="s">
        <v>798</v>
      </c>
      <c r="C406" s="1" t="s">
        <v>799</v>
      </c>
      <c r="D406" s="1" t="s">
        <v>993</v>
      </c>
    </row>
    <row r="407" spans="1:4">
      <c r="A407" s="1" t="s">
        <v>475</v>
      </c>
      <c r="B407" s="1" t="s">
        <v>794</v>
      </c>
      <c r="C407" s="1" t="s">
        <v>799</v>
      </c>
      <c r="D407" s="1" t="s">
        <v>994</v>
      </c>
    </row>
    <row r="408" spans="1:4">
      <c r="A408" s="1" t="s">
        <v>475</v>
      </c>
      <c r="B408" s="1" t="s">
        <v>795</v>
      </c>
      <c r="C408" s="1" t="s">
        <v>799</v>
      </c>
      <c r="D408" s="1" t="s">
        <v>802</v>
      </c>
    </row>
    <row r="409" spans="1:4">
      <c r="A409" s="1" t="s">
        <v>475</v>
      </c>
      <c r="B409" s="1" t="s">
        <v>796</v>
      </c>
      <c r="C409" s="1" t="s">
        <v>799</v>
      </c>
    </row>
    <row r="410" spans="1:4">
      <c r="A410" s="1" t="s">
        <v>475</v>
      </c>
      <c r="B410" s="1" t="s">
        <v>797</v>
      </c>
      <c r="C410" s="1" t="s">
        <v>799</v>
      </c>
      <c r="D410" s="1" t="s">
        <v>995</v>
      </c>
    </row>
    <row r="411" spans="1:4">
      <c r="A411" s="1" t="s">
        <v>475</v>
      </c>
      <c r="B411" s="1" t="s">
        <v>798</v>
      </c>
      <c r="C411" s="1" t="s">
        <v>799</v>
      </c>
      <c r="D411" s="1" t="s">
        <v>996</v>
      </c>
    </row>
    <row r="412" spans="1:4">
      <c r="A412" s="1" t="s">
        <v>476</v>
      </c>
      <c r="B412" s="1" t="s">
        <v>794</v>
      </c>
      <c r="C412" s="1" t="s">
        <v>799</v>
      </c>
      <c r="D412" s="1" t="s">
        <v>997</v>
      </c>
    </row>
    <row r="413" spans="1:4">
      <c r="A413" s="1" t="s">
        <v>476</v>
      </c>
      <c r="B413" s="1" t="s">
        <v>795</v>
      </c>
      <c r="C413" s="1" t="s">
        <v>799</v>
      </c>
      <c r="D413" s="1" t="s">
        <v>802</v>
      </c>
    </row>
    <row r="414" spans="1:4">
      <c r="A414" s="1" t="s">
        <v>476</v>
      </c>
      <c r="B414" s="1" t="s">
        <v>796</v>
      </c>
      <c r="C414" s="1" t="s">
        <v>799</v>
      </c>
    </row>
    <row r="415" spans="1:4">
      <c r="A415" s="1" t="s">
        <v>476</v>
      </c>
      <c r="B415" s="1" t="s">
        <v>797</v>
      </c>
      <c r="C415" s="1" t="s">
        <v>799</v>
      </c>
      <c r="D415" s="1" t="s">
        <v>998</v>
      </c>
    </row>
    <row r="416" spans="1:4">
      <c r="A416" s="1" t="s">
        <v>476</v>
      </c>
      <c r="B416" s="1" t="s">
        <v>798</v>
      </c>
      <c r="C416" s="1" t="s">
        <v>799</v>
      </c>
      <c r="D416" s="1" t="s">
        <v>999</v>
      </c>
    </row>
    <row r="417" spans="1:4">
      <c r="A417" s="1" t="s">
        <v>477</v>
      </c>
      <c r="B417" s="1" t="s">
        <v>794</v>
      </c>
      <c r="C417" s="1" t="s">
        <v>799</v>
      </c>
      <c r="D417" s="1" t="s">
        <v>1000</v>
      </c>
    </row>
    <row r="418" spans="1:4">
      <c r="A418" s="1" t="s">
        <v>477</v>
      </c>
      <c r="B418" s="1" t="s">
        <v>795</v>
      </c>
      <c r="C418" s="1" t="s">
        <v>799</v>
      </c>
      <c r="D418" s="1" t="s">
        <v>802</v>
      </c>
    </row>
    <row r="419" spans="1:4">
      <c r="A419" s="1" t="s">
        <v>477</v>
      </c>
      <c r="B419" s="1" t="s">
        <v>796</v>
      </c>
      <c r="C419" s="1" t="s">
        <v>799</v>
      </c>
    </row>
    <row r="420" spans="1:4">
      <c r="A420" s="1" t="s">
        <v>477</v>
      </c>
      <c r="B420" s="1" t="s">
        <v>797</v>
      </c>
      <c r="C420" s="1" t="s">
        <v>799</v>
      </c>
      <c r="D420" s="1" t="s">
        <v>1001</v>
      </c>
    </row>
    <row r="421" spans="1:4">
      <c r="A421" s="1" t="s">
        <v>477</v>
      </c>
      <c r="B421" s="1" t="s">
        <v>798</v>
      </c>
      <c r="C421" s="1" t="s">
        <v>799</v>
      </c>
      <c r="D421" s="1" t="s">
        <v>1002</v>
      </c>
    </row>
    <row r="422" spans="1:4">
      <c r="A422" s="1" t="s">
        <v>478</v>
      </c>
      <c r="B422" s="1" t="s">
        <v>794</v>
      </c>
      <c r="C422" s="1" t="s">
        <v>799</v>
      </c>
      <c r="D422" s="1" t="s">
        <v>1003</v>
      </c>
    </row>
    <row r="423" spans="1:4">
      <c r="A423" s="1" t="s">
        <v>478</v>
      </c>
      <c r="B423" s="1" t="s">
        <v>795</v>
      </c>
      <c r="C423" s="1" t="s">
        <v>799</v>
      </c>
      <c r="D423" s="1" t="s">
        <v>802</v>
      </c>
    </row>
    <row r="424" spans="1:4">
      <c r="A424" s="1" t="s">
        <v>478</v>
      </c>
      <c r="B424" s="1" t="s">
        <v>796</v>
      </c>
      <c r="C424" s="1" t="s">
        <v>799</v>
      </c>
    </row>
    <row r="425" spans="1:4">
      <c r="A425" s="1" t="s">
        <v>478</v>
      </c>
      <c r="B425" s="1" t="s">
        <v>797</v>
      </c>
      <c r="C425" s="1" t="s">
        <v>799</v>
      </c>
      <c r="D425" s="1" t="s">
        <v>1004</v>
      </c>
    </row>
    <row r="426" spans="1:4">
      <c r="A426" s="1" t="s">
        <v>478</v>
      </c>
      <c r="B426" s="1" t="s">
        <v>798</v>
      </c>
      <c r="C426" s="1" t="s">
        <v>799</v>
      </c>
      <c r="D426" s="1" t="s">
        <v>1005</v>
      </c>
    </row>
    <row r="427" spans="1:4">
      <c r="A427" s="1" t="s">
        <v>479</v>
      </c>
      <c r="B427" s="1" t="s">
        <v>794</v>
      </c>
      <c r="C427" s="1" t="s">
        <v>799</v>
      </c>
      <c r="D427" s="1" t="s">
        <v>1006</v>
      </c>
    </row>
    <row r="428" spans="1:4">
      <c r="A428" s="1" t="s">
        <v>479</v>
      </c>
      <c r="B428" s="1" t="s">
        <v>795</v>
      </c>
      <c r="C428" s="1" t="s">
        <v>799</v>
      </c>
      <c r="D428" s="1" t="s">
        <v>802</v>
      </c>
    </row>
    <row r="429" spans="1:4">
      <c r="A429" s="1" t="s">
        <v>479</v>
      </c>
      <c r="B429" s="1" t="s">
        <v>796</v>
      </c>
      <c r="C429" s="1" t="s">
        <v>799</v>
      </c>
    </row>
    <row r="430" spans="1:4">
      <c r="A430" s="1" t="s">
        <v>479</v>
      </c>
      <c r="B430" s="1" t="s">
        <v>797</v>
      </c>
      <c r="C430" s="1" t="s">
        <v>799</v>
      </c>
      <c r="D430" s="1" t="s">
        <v>1007</v>
      </c>
    </row>
    <row r="431" spans="1:4">
      <c r="A431" s="1" t="s">
        <v>479</v>
      </c>
      <c r="B431" s="1" t="s">
        <v>798</v>
      </c>
      <c r="C431" s="1" t="s">
        <v>799</v>
      </c>
      <c r="D431" s="1" t="s">
        <v>1008</v>
      </c>
    </row>
    <row r="432" spans="1:4">
      <c r="A432" s="1" t="s">
        <v>480</v>
      </c>
      <c r="B432" s="1" t="s">
        <v>794</v>
      </c>
      <c r="C432" s="1" t="s">
        <v>799</v>
      </c>
      <c r="D432" s="1" t="s">
        <v>1009</v>
      </c>
    </row>
    <row r="433" spans="1:4">
      <c r="A433" s="1" t="s">
        <v>480</v>
      </c>
      <c r="B433" s="1" t="s">
        <v>795</v>
      </c>
      <c r="C433" s="1" t="s">
        <v>799</v>
      </c>
      <c r="D433" s="1" t="s">
        <v>802</v>
      </c>
    </row>
    <row r="434" spans="1:4">
      <c r="A434" s="1" t="s">
        <v>480</v>
      </c>
      <c r="B434" s="1" t="s">
        <v>796</v>
      </c>
      <c r="C434" s="1" t="s">
        <v>799</v>
      </c>
    </row>
    <row r="435" spans="1:4">
      <c r="A435" s="1" t="s">
        <v>480</v>
      </c>
      <c r="B435" s="1" t="s">
        <v>797</v>
      </c>
      <c r="C435" s="1" t="s">
        <v>799</v>
      </c>
      <c r="D435" s="1" t="s">
        <v>1010</v>
      </c>
    </row>
    <row r="436" spans="1:4">
      <c r="A436" s="1" t="s">
        <v>480</v>
      </c>
      <c r="B436" s="1" t="s">
        <v>798</v>
      </c>
      <c r="C436" s="1" t="s">
        <v>799</v>
      </c>
      <c r="D436" s="1" t="s">
        <v>1011</v>
      </c>
    </row>
    <row r="437" spans="1:4">
      <c r="A437" s="1" t="s">
        <v>481</v>
      </c>
      <c r="B437" s="1" t="s">
        <v>794</v>
      </c>
      <c r="C437" s="1" t="s">
        <v>799</v>
      </c>
      <c r="D437" s="1" t="s">
        <v>1012</v>
      </c>
    </row>
    <row r="438" spans="1:4">
      <c r="A438" s="1" t="s">
        <v>481</v>
      </c>
      <c r="B438" s="1" t="s">
        <v>795</v>
      </c>
      <c r="C438" s="1" t="s">
        <v>799</v>
      </c>
      <c r="D438" s="1" t="s">
        <v>802</v>
      </c>
    </row>
    <row r="439" spans="1:4">
      <c r="A439" s="1" t="s">
        <v>481</v>
      </c>
      <c r="B439" s="1" t="s">
        <v>796</v>
      </c>
      <c r="C439" s="1" t="s">
        <v>799</v>
      </c>
    </row>
    <row r="440" spans="1:4">
      <c r="A440" s="1" t="s">
        <v>481</v>
      </c>
      <c r="B440" s="1" t="s">
        <v>797</v>
      </c>
      <c r="C440" s="1" t="s">
        <v>799</v>
      </c>
      <c r="D440" s="1" t="s">
        <v>1013</v>
      </c>
    </row>
    <row r="441" spans="1:4">
      <c r="A441" s="1" t="s">
        <v>481</v>
      </c>
      <c r="B441" s="1" t="s">
        <v>798</v>
      </c>
      <c r="C441" s="1" t="s">
        <v>799</v>
      </c>
      <c r="D441" s="1" t="s">
        <v>1014</v>
      </c>
    </row>
    <row r="442" spans="1:4">
      <c r="A442" s="1" t="s">
        <v>482</v>
      </c>
      <c r="B442" s="1" t="s">
        <v>794</v>
      </c>
      <c r="C442" s="1" t="s">
        <v>799</v>
      </c>
      <c r="D442" s="1" t="s">
        <v>1015</v>
      </c>
    </row>
    <row r="443" spans="1:4">
      <c r="A443" s="1" t="s">
        <v>482</v>
      </c>
      <c r="B443" s="1" t="s">
        <v>795</v>
      </c>
      <c r="C443" s="1" t="s">
        <v>799</v>
      </c>
      <c r="D443" s="1" t="s">
        <v>802</v>
      </c>
    </row>
    <row r="444" spans="1:4">
      <c r="A444" s="1" t="s">
        <v>482</v>
      </c>
      <c r="B444" s="1" t="s">
        <v>796</v>
      </c>
      <c r="C444" s="1" t="s">
        <v>799</v>
      </c>
    </row>
    <row r="445" spans="1:4">
      <c r="A445" s="1" t="s">
        <v>482</v>
      </c>
      <c r="B445" s="1" t="s">
        <v>797</v>
      </c>
      <c r="C445" s="1" t="s">
        <v>799</v>
      </c>
      <c r="D445" s="1" t="s">
        <v>1016</v>
      </c>
    </row>
    <row r="446" spans="1:4">
      <c r="A446" s="1" t="s">
        <v>482</v>
      </c>
      <c r="B446" s="1" t="s">
        <v>798</v>
      </c>
      <c r="C446" s="1" t="s">
        <v>799</v>
      </c>
      <c r="D446" s="1" t="s">
        <v>1017</v>
      </c>
    </row>
    <row r="447" spans="1:4">
      <c r="A447" s="1" t="s">
        <v>483</v>
      </c>
      <c r="B447" s="1" t="s">
        <v>794</v>
      </c>
      <c r="C447" s="1" t="s">
        <v>799</v>
      </c>
      <c r="D447" s="1" t="s">
        <v>1018</v>
      </c>
    </row>
    <row r="448" spans="1:4">
      <c r="A448" s="1" t="s">
        <v>483</v>
      </c>
      <c r="B448" s="1" t="s">
        <v>795</v>
      </c>
      <c r="C448" s="1" t="s">
        <v>799</v>
      </c>
      <c r="D448" s="1" t="s">
        <v>802</v>
      </c>
    </row>
    <row r="449" spans="1:4">
      <c r="A449" s="1" t="s">
        <v>483</v>
      </c>
      <c r="B449" s="1" t="s">
        <v>796</v>
      </c>
      <c r="C449" s="1" t="s">
        <v>799</v>
      </c>
    </row>
    <row r="450" spans="1:4">
      <c r="A450" s="1" t="s">
        <v>483</v>
      </c>
      <c r="B450" s="1" t="s">
        <v>797</v>
      </c>
      <c r="C450" s="1" t="s">
        <v>799</v>
      </c>
      <c r="D450" s="1" t="s">
        <v>1019</v>
      </c>
    </row>
    <row r="451" spans="1:4">
      <c r="A451" s="1" t="s">
        <v>483</v>
      </c>
      <c r="B451" s="1" t="s">
        <v>798</v>
      </c>
      <c r="C451" s="1" t="s">
        <v>799</v>
      </c>
      <c r="D451" s="1" t="s">
        <v>1020</v>
      </c>
    </row>
    <row r="452" spans="1:4">
      <c r="A452" s="1" t="s">
        <v>484</v>
      </c>
      <c r="B452" s="1" t="s">
        <v>794</v>
      </c>
      <c r="C452" s="1" t="s">
        <v>799</v>
      </c>
      <c r="D452" s="1" t="s">
        <v>1021</v>
      </c>
    </row>
    <row r="453" spans="1:4">
      <c r="A453" s="1" t="s">
        <v>484</v>
      </c>
      <c r="B453" s="1" t="s">
        <v>795</v>
      </c>
      <c r="C453" s="1" t="s">
        <v>799</v>
      </c>
      <c r="D453" s="1" t="s">
        <v>802</v>
      </c>
    </row>
    <row r="454" spans="1:4">
      <c r="A454" s="1" t="s">
        <v>484</v>
      </c>
      <c r="B454" s="1" t="s">
        <v>796</v>
      </c>
      <c r="C454" s="1" t="s">
        <v>799</v>
      </c>
    </row>
    <row r="455" spans="1:4">
      <c r="A455" s="1" t="s">
        <v>484</v>
      </c>
      <c r="B455" s="1" t="s">
        <v>797</v>
      </c>
      <c r="C455" s="1" t="s">
        <v>800</v>
      </c>
      <c r="D455" s="1" t="s">
        <v>1022</v>
      </c>
    </row>
    <row r="456" spans="1:4">
      <c r="A456" s="1" t="s">
        <v>484</v>
      </c>
      <c r="B456" s="1" t="s">
        <v>798</v>
      </c>
      <c r="C456" s="1" t="s">
        <v>799</v>
      </c>
      <c r="D456" s="1" t="s">
        <v>1023</v>
      </c>
    </row>
    <row r="457" spans="1:4">
      <c r="A457" s="1" t="s">
        <v>485</v>
      </c>
      <c r="B457" s="1" t="s">
        <v>794</v>
      </c>
      <c r="C457" s="1" t="s">
        <v>799</v>
      </c>
      <c r="D457" s="1" t="s">
        <v>1024</v>
      </c>
    </row>
    <row r="458" spans="1:4">
      <c r="A458" s="1" t="s">
        <v>485</v>
      </c>
      <c r="B458" s="1" t="s">
        <v>795</v>
      </c>
      <c r="C458" s="1" t="s">
        <v>799</v>
      </c>
      <c r="D458" s="1" t="s">
        <v>802</v>
      </c>
    </row>
    <row r="459" spans="1:4">
      <c r="A459" s="1" t="s">
        <v>485</v>
      </c>
      <c r="B459" s="1" t="s">
        <v>796</v>
      </c>
      <c r="C459" s="1" t="s">
        <v>799</v>
      </c>
    </row>
    <row r="460" spans="1:4">
      <c r="A460" s="1" t="s">
        <v>485</v>
      </c>
      <c r="B460" s="1" t="s">
        <v>797</v>
      </c>
      <c r="C460" s="1" t="s">
        <v>799</v>
      </c>
      <c r="D460" s="1" t="s">
        <v>1025</v>
      </c>
    </row>
    <row r="461" spans="1:4">
      <c r="A461" s="1" t="s">
        <v>485</v>
      </c>
      <c r="B461" s="1" t="s">
        <v>798</v>
      </c>
      <c r="C461" s="1" t="s">
        <v>799</v>
      </c>
      <c r="D461" s="1" t="s">
        <v>1026</v>
      </c>
    </row>
    <row r="462" spans="1:4">
      <c r="A462" s="1" t="s">
        <v>486</v>
      </c>
      <c r="B462" s="1" t="s">
        <v>794</v>
      </c>
      <c r="C462" s="1" t="s">
        <v>799</v>
      </c>
      <c r="D462" s="1" t="s">
        <v>1027</v>
      </c>
    </row>
    <row r="463" spans="1:4">
      <c r="A463" s="1" t="s">
        <v>486</v>
      </c>
      <c r="B463" s="1" t="s">
        <v>795</v>
      </c>
      <c r="C463" s="1" t="s">
        <v>799</v>
      </c>
      <c r="D463" s="1" t="s">
        <v>802</v>
      </c>
    </row>
    <row r="464" spans="1:4">
      <c r="A464" s="1" t="s">
        <v>486</v>
      </c>
      <c r="B464" s="1" t="s">
        <v>796</v>
      </c>
      <c r="C464" s="1" t="s">
        <v>799</v>
      </c>
    </row>
    <row r="465" spans="1:4">
      <c r="A465" s="1" t="s">
        <v>486</v>
      </c>
      <c r="B465" s="1" t="s">
        <v>797</v>
      </c>
      <c r="C465" s="1" t="s">
        <v>799</v>
      </c>
      <c r="D465" s="1" t="s">
        <v>1028</v>
      </c>
    </row>
    <row r="466" spans="1:4">
      <c r="A466" s="1" t="s">
        <v>486</v>
      </c>
      <c r="B466" s="1" t="s">
        <v>798</v>
      </c>
      <c r="C466" s="1" t="s">
        <v>799</v>
      </c>
      <c r="D466" s="1" t="s">
        <v>1029</v>
      </c>
    </row>
    <row r="467" spans="1:4">
      <c r="A467" s="1" t="s">
        <v>487</v>
      </c>
      <c r="B467" s="1" t="s">
        <v>794</v>
      </c>
      <c r="C467" s="1" t="s">
        <v>799</v>
      </c>
      <c r="D467" s="1" t="s">
        <v>1030</v>
      </c>
    </row>
    <row r="468" spans="1:4">
      <c r="A468" s="1" t="s">
        <v>487</v>
      </c>
      <c r="B468" s="1" t="s">
        <v>795</v>
      </c>
      <c r="C468" s="1" t="s">
        <v>799</v>
      </c>
      <c r="D468" s="1" t="s">
        <v>802</v>
      </c>
    </row>
    <row r="469" spans="1:4">
      <c r="A469" s="1" t="s">
        <v>487</v>
      </c>
      <c r="B469" s="1" t="s">
        <v>796</v>
      </c>
      <c r="C469" s="1" t="s">
        <v>799</v>
      </c>
    </row>
    <row r="470" spans="1:4">
      <c r="A470" s="1" t="s">
        <v>487</v>
      </c>
      <c r="B470" s="1" t="s">
        <v>797</v>
      </c>
      <c r="C470" s="1" t="s">
        <v>799</v>
      </c>
      <c r="D470" s="1" t="s">
        <v>1031</v>
      </c>
    </row>
    <row r="471" spans="1:4">
      <c r="A471" s="1" t="s">
        <v>487</v>
      </c>
      <c r="B471" s="1" t="s">
        <v>798</v>
      </c>
      <c r="C471" s="1" t="s">
        <v>799</v>
      </c>
      <c r="D471" s="1" t="s">
        <v>1032</v>
      </c>
    </row>
    <row r="472" spans="1:4">
      <c r="A472" s="1" t="s">
        <v>488</v>
      </c>
      <c r="B472" s="1" t="s">
        <v>794</v>
      </c>
      <c r="C472" s="1" t="s">
        <v>799</v>
      </c>
      <c r="D472" s="1" t="s">
        <v>1033</v>
      </c>
    </row>
    <row r="473" spans="1:4">
      <c r="A473" s="1" t="s">
        <v>488</v>
      </c>
      <c r="B473" s="1" t="s">
        <v>795</v>
      </c>
      <c r="C473" s="1" t="s">
        <v>799</v>
      </c>
      <c r="D473" s="1" t="s">
        <v>802</v>
      </c>
    </row>
    <row r="474" spans="1:4">
      <c r="A474" s="1" t="s">
        <v>488</v>
      </c>
      <c r="B474" s="1" t="s">
        <v>796</v>
      </c>
      <c r="C474" s="1" t="s">
        <v>799</v>
      </c>
    </row>
    <row r="475" spans="1:4">
      <c r="A475" s="1" t="s">
        <v>488</v>
      </c>
      <c r="B475" s="1" t="s">
        <v>797</v>
      </c>
      <c r="C475" s="1" t="s">
        <v>799</v>
      </c>
      <c r="D475" s="1" t="s">
        <v>1034</v>
      </c>
    </row>
    <row r="476" spans="1:4">
      <c r="A476" s="1" t="s">
        <v>488</v>
      </c>
      <c r="B476" s="1" t="s">
        <v>798</v>
      </c>
      <c r="C476" s="1" t="s">
        <v>799</v>
      </c>
      <c r="D476" s="1" t="s">
        <v>1035</v>
      </c>
    </row>
    <row r="477" spans="1:4">
      <c r="A477" s="1" t="s">
        <v>489</v>
      </c>
      <c r="B477" s="1" t="s">
        <v>794</v>
      </c>
      <c r="C477" s="1" t="s">
        <v>799</v>
      </c>
      <c r="D477" s="1" t="s">
        <v>1036</v>
      </c>
    </row>
    <row r="478" spans="1:4">
      <c r="A478" s="1" t="s">
        <v>489</v>
      </c>
      <c r="B478" s="1" t="s">
        <v>795</v>
      </c>
      <c r="C478" s="1" t="s">
        <v>799</v>
      </c>
      <c r="D478" s="1" t="s">
        <v>802</v>
      </c>
    </row>
    <row r="479" spans="1:4">
      <c r="A479" s="1" t="s">
        <v>489</v>
      </c>
      <c r="B479" s="1" t="s">
        <v>796</v>
      </c>
      <c r="C479" s="1" t="s">
        <v>799</v>
      </c>
    </row>
    <row r="480" spans="1:4">
      <c r="A480" s="1" t="s">
        <v>489</v>
      </c>
      <c r="B480" s="1" t="s">
        <v>797</v>
      </c>
      <c r="C480" s="1" t="s">
        <v>799</v>
      </c>
      <c r="D480" s="1" t="s">
        <v>1037</v>
      </c>
    </row>
    <row r="481" spans="1:4">
      <c r="A481" s="1" t="s">
        <v>489</v>
      </c>
      <c r="B481" s="1" t="s">
        <v>798</v>
      </c>
      <c r="C481" s="1" t="s">
        <v>799</v>
      </c>
      <c r="D481" s="1" t="s">
        <v>1038</v>
      </c>
    </row>
    <row r="482" spans="1:4">
      <c r="A482" s="1" t="s">
        <v>490</v>
      </c>
      <c r="B482" s="1" t="s">
        <v>794</v>
      </c>
      <c r="C482" s="1" t="s">
        <v>799</v>
      </c>
      <c r="D482" s="1" t="s">
        <v>1039</v>
      </c>
    </row>
    <row r="483" spans="1:4">
      <c r="A483" s="1" t="s">
        <v>490</v>
      </c>
      <c r="B483" s="1" t="s">
        <v>795</v>
      </c>
      <c r="C483" s="1" t="s">
        <v>799</v>
      </c>
      <c r="D483" s="1" t="s">
        <v>802</v>
      </c>
    </row>
    <row r="484" spans="1:4">
      <c r="A484" s="1" t="s">
        <v>490</v>
      </c>
      <c r="B484" s="1" t="s">
        <v>796</v>
      </c>
      <c r="C484" s="1" t="s">
        <v>799</v>
      </c>
    </row>
    <row r="485" spans="1:4">
      <c r="A485" s="1" t="s">
        <v>490</v>
      </c>
      <c r="B485" s="1" t="s">
        <v>797</v>
      </c>
      <c r="C485" s="1" t="s">
        <v>799</v>
      </c>
      <c r="D485" s="1" t="s">
        <v>1040</v>
      </c>
    </row>
    <row r="486" spans="1:4">
      <c r="A486" s="1" t="s">
        <v>490</v>
      </c>
      <c r="B486" s="1" t="s">
        <v>798</v>
      </c>
      <c r="C486" s="1" t="s">
        <v>799</v>
      </c>
      <c r="D486" s="1" t="s">
        <v>1041</v>
      </c>
    </row>
    <row r="487" spans="1:4">
      <c r="A487" s="1" t="s">
        <v>491</v>
      </c>
      <c r="B487" s="1" t="s">
        <v>794</v>
      </c>
      <c r="C487" s="1" t="s">
        <v>799</v>
      </c>
      <c r="D487" s="1" t="s">
        <v>1042</v>
      </c>
    </row>
    <row r="488" spans="1:4">
      <c r="A488" s="1" t="s">
        <v>491</v>
      </c>
      <c r="B488" s="1" t="s">
        <v>795</v>
      </c>
      <c r="C488" s="1" t="s">
        <v>799</v>
      </c>
      <c r="D488" s="1" t="s">
        <v>802</v>
      </c>
    </row>
    <row r="489" spans="1:4">
      <c r="A489" s="1" t="s">
        <v>491</v>
      </c>
      <c r="B489" s="1" t="s">
        <v>796</v>
      </c>
      <c r="C489" s="1" t="s">
        <v>799</v>
      </c>
    </row>
    <row r="490" spans="1:4">
      <c r="A490" s="1" t="s">
        <v>491</v>
      </c>
      <c r="B490" s="1" t="s">
        <v>797</v>
      </c>
      <c r="C490" s="1" t="s">
        <v>799</v>
      </c>
      <c r="D490" s="1" t="s">
        <v>1043</v>
      </c>
    </row>
    <row r="491" spans="1:4">
      <c r="A491" s="1" t="s">
        <v>491</v>
      </c>
      <c r="B491" s="1" t="s">
        <v>798</v>
      </c>
      <c r="C491" s="1" t="s">
        <v>799</v>
      </c>
      <c r="D491" s="1" t="s">
        <v>1044</v>
      </c>
    </row>
    <row r="492" spans="1:4">
      <c r="A492" s="1" t="s">
        <v>492</v>
      </c>
      <c r="B492" s="1" t="s">
        <v>794</v>
      </c>
      <c r="C492" s="1" t="s">
        <v>799</v>
      </c>
      <c r="D492" s="1" t="s">
        <v>1045</v>
      </c>
    </row>
    <row r="493" spans="1:4">
      <c r="A493" s="1" t="s">
        <v>492</v>
      </c>
      <c r="B493" s="1" t="s">
        <v>795</v>
      </c>
      <c r="C493" s="1" t="s">
        <v>799</v>
      </c>
      <c r="D493" s="1" t="s">
        <v>802</v>
      </c>
    </row>
    <row r="494" spans="1:4">
      <c r="A494" s="1" t="s">
        <v>492</v>
      </c>
      <c r="B494" s="1" t="s">
        <v>796</v>
      </c>
      <c r="C494" s="1" t="s">
        <v>799</v>
      </c>
    </row>
    <row r="495" spans="1:4">
      <c r="A495" s="1" t="s">
        <v>492</v>
      </c>
      <c r="B495" s="1" t="s">
        <v>797</v>
      </c>
      <c r="C495" s="1" t="s">
        <v>799</v>
      </c>
      <c r="D495" s="1" t="s">
        <v>1046</v>
      </c>
    </row>
    <row r="496" spans="1:4">
      <c r="A496" s="1" t="s">
        <v>492</v>
      </c>
      <c r="B496" s="1" t="s">
        <v>798</v>
      </c>
      <c r="C496" s="1" t="s">
        <v>799</v>
      </c>
      <c r="D496" s="1" t="s">
        <v>1047</v>
      </c>
    </row>
    <row r="497" spans="1:4">
      <c r="A497" s="1" t="s">
        <v>493</v>
      </c>
      <c r="B497" s="1" t="s">
        <v>794</v>
      </c>
      <c r="C497" s="1" t="s">
        <v>799</v>
      </c>
      <c r="D497" s="1" t="s">
        <v>1048</v>
      </c>
    </row>
    <row r="498" spans="1:4">
      <c r="A498" s="1" t="s">
        <v>493</v>
      </c>
      <c r="B498" s="1" t="s">
        <v>795</v>
      </c>
      <c r="C498" s="1" t="s">
        <v>799</v>
      </c>
      <c r="D498" s="1" t="s">
        <v>802</v>
      </c>
    </row>
    <row r="499" spans="1:4">
      <c r="A499" s="1" t="s">
        <v>493</v>
      </c>
      <c r="B499" s="1" t="s">
        <v>796</v>
      </c>
      <c r="C499" s="1" t="s">
        <v>799</v>
      </c>
    </row>
    <row r="500" spans="1:4">
      <c r="A500" s="1" t="s">
        <v>493</v>
      </c>
      <c r="B500" s="1" t="s">
        <v>797</v>
      </c>
      <c r="C500" s="1" t="s">
        <v>799</v>
      </c>
      <c r="D500" s="1" t="s">
        <v>1049</v>
      </c>
    </row>
    <row r="501" spans="1:4">
      <c r="A501" s="1" t="s">
        <v>493</v>
      </c>
      <c r="B501" s="1" t="s">
        <v>798</v>
      </c>
      <c r="C501" s="1" t="s">
        <v>799</v>
      </c>
      <c r="D501" s="1" t="s">
        <v>1050</v>
      </c>
    </row>
    <row r="502" spans="1:4">
      <c r="A502" s="1" t="s">
        <v>494</v>
      </c>
      <c r="B502" s="1" t="s">
        <v>794</v>
      </c>
      <c r="C502" s="1" t="s">
        <v>799</v>
      </c>
      <c r="D502" s="1" t="s">
        <v>1051</v>
      </c>
    </row>
    <row r="503" spans="1:4">
      <c r="A503" s="1" t="s">
        <v>494</v>
      </c>
      <c r="B503" s="1" t="s">
        <v>795</v>
      </c>
      <c r="C503" s="1" t="s">
        <v>799</v>
      </c>
      <c r="D503" s="1" t="s">
        <v>802</v>
      </c>
    </row>
    <row r="504" spans="1:4">
      <c r="A504" s="1" t="s">
        <v>494</v>
      </c>
      <c r="B504" s="1" t="s">
        <v>796</v>
      </c>
      <c r="C504" s="1" t="s">
        <v>799</v>
      </c>
    </row>
    <row r="505" spans="1:4">
      <c r="A505" s="1" t="s">
        <v>494</v>
      </c>
      <c r="B505" s="1" t="s">
        <v>797</v>
      </c>
      <c r="C505" s="1" t="s">
        <v>799</v>
      </c>
      <c r="D505" s="1" t="s">
        <v>1052</v>
      </c>
    </row>
    <row r="506" spans="1:4">
      <c r="A506" s="1" t="s">
        <v>494</v>
      </c>
      <c r="B506" s="1" t="s">
        <v>798</v>
      </c>
      <c r="C506" s="1" t="s">
        <v>799</v>
      </c>
      <c r="D506" s="1" t="s">
        <v>1053</v>
      </c>
    </row>
    <row r="507" spans="1:4">
      <c r="A507" s="1" t="s">
        <v>495</v>
      </c>
      <c r="B507" s="1" t="s">
        <v>794</v>
      </c>
      <c r="C507" s="1" t="s">
        <v>799</v>
      </c>
      <c r="D507" s="1" t="s">
        <v>1054</v>
      </c>
    </row>
    <row r="508" spans="1:4">
      <c r="A508" s="1" t="s">
        <v>495</v>
      </c>
      <c r="B508" s="1" t="s">
        <v>795</v>
      </c>
      <c r="C508" s="1" t="s">
        <v>799</v>
      </c>
      <c r="D508" s="1" t="s">
        <v>802</v>
      </c>
    </row>
    <row r="509" spans="1:4">
      <c r="A509" s="1" t="s">
        <v>495</v>
      </c>
      <c r="B509" s="1" t="s">
        <v>796</v>
      </c>
      <c r="C509" s="1" t="s">
        <v>799</v>
      </c>
    </row>
    <row r="510" spans="1:4">
      <c r="A510" s="1" t="s">
        <v>495</v>
      </c>
      <c r="B510" s="1" t="s">
        <v>797</v>
      </c>
      <c r="C510" s="1" t="s">
        <v>799</v>
      </c>
      <c r="D510" s="1" t="s">
        <v>1055</v>
      </c>
    </row>
    <row r="511" spans="1:4">
      <c r="A511" s="1" t="s">
        <v>495</v>
      </c>
      <c r="B511" s="1" t="s">
        <v>798</v>
      </c>
      <c r="C511" s="1" t="s">
        <v>799</v>
      </c>
      <c r="D511" s="1" t="s">
        <v>1056</v>
      </c>
    </row>
    <row r="512" spans="1:4">
      <c r="A512" s="1" t="s">
        <v>496</v>
      </c>
      <c r="B512" s="1" t="s">
        <v>794</v>
      </c>
      <c r="C512" s="1" t="s">
        <v>799</v>
      </c>
      <c r="D512" s="1" t="s">
        <v>1057</v>
      </c>
    </row>
    <row r="513" spans="1:4">
      <c r="A513" s="1" t="s">
        <v>496</v>
      </c>
      <c r="B513" s="1" t="s">
        <v>795</v>
      </c>
      <c r="C513" s="1" t="s">
        <v>799</v>
      </c>
      <c r="D513" s="1" t="s">
        <v>802</v>
      </c>
    </row>
    <row r="514" spans="1:4">
      <c r="A514" s="1" t="s">
        <v>496</v>
      </c>
      <c r="B514" s="1" t="s">
        <v>796</v>
      </c>
      <c r="C514" s="1" t="s">
        <v>799</v>
      </c>
    </row>
    <row r="515" spans="1:4">
      <c r="A515" s="1" t="s">
        <v>496</v>
      </c>
      <c r="B515" s="1" t="s">
        <v>797</v>
      </c>
      <c r="C515" s="1" t="s">
        <v>799</v>
      </c>
      <c r="D515" s="1" t="s">
        <v>1058</v>
      </c>
    </row>
    <row r="516" spans="1:4">
      <c r="A516" s="1" t="s">
        <v>496</v>
      </c>
      <c r="B516" s="1" t="s">
        <v>798</v>
      </c>
      <c r="C516" s="1" t="s">
        <v>799</v>
      </c>
      <c r="D516" s="1" t="s">
        <v>1059</v>
      </c>
    </row>
    <row r="517" spans="1:4">
      <c r="A517" s="1" t="s">
        <v>497</v>
      </c>
      <c r="B517" s="1" t="s">
        <v>794</v>
      </c>
      <c r="C517" s="1" t="s">
        <v>799</v>
      </c>
      <c r="D517" s="1" t="s">
        <v>1060</v>
      </c>
    </row>
    <row r="518" spans="1:4">
      <c r="A518" s="1" t="s">
        <v>497</v>
      </c>
      <c r="B518" s="1" t="s">
        <v>795</v>
      </c>
      <c r="C518" s="1" t="s">
        <v>799</v>
      </c>
      <c r="D518" s="1" t="s">
        <v>802</v>
      </c>
    </row>
    <row r="519" spans="1:4">
      <c r="A519" s="1" t="s">
        <v>497</v>
      </c>
      <c r="B519" s="1" t="s">
        <v>796</v>
      </c>
      <c r="C519" s="1" t="s">
        <v>799</v>
      </c>
    </row>
    <row r="520" spans="1:4">
      <c r="A520" s="1" t="s">
        <v>497</v>
      </c>
      <c r="B520" s="1" t="s">
        <v>797</v>
      </c>
      <c r="C520" s="1" t="s">
        <v>799</v>
      </c>
      <c r="D520" s="1" t="s">
        <v>1061</v>
      </c>
    </row>
    <row r="521" spans="1:4">
      <c r="A521" s="1" t="s">
        <v>497</v>
      </c>
      <c r="B521" s="1" t="s">
        <v>798</v>
      </c>
      <c r="C521" s="1" t="s">
        <v>799</v>
      </c>
      <c r="D521" s="1" t="s">
        <v>1062</v>
      </c>
    </row>
    <row r="522" spans="1:4">
      <c r="A522" s="1" t="s">
        <v>498</v>
      </c>
      <c r="B522" s="1" t="s">
        <v>794</v>
      </c>
      <c r="C522" s="1" t="s">
        <v>799</v>
      </c>
      <c r="D522" s="1" t="s">
        <v>1063</v>
      </c>
    </row>
    <row r="523" spans="1:4">
      <c r="A523" s="1" t="s">
        <v>498</v>
      </c>
      <c r="B523" s="1" t="s">
        <v>795</v>
      </c>
      <c r="C523" s="1" t="s">
        <v>799</v>
      </c>
      <c r="D523" s="1" t="s">
        <v>802</v>
      </c>
    </row>
    <row r="524" spans="1:4">
      <c r="A524" s="1" t="s">
        <v>498</v>
      </c>
      <c r="B524" s="1" t="s">
        <v>796</v>
      </c>
      <c r="C524" s="1" t="s">
        <v>799</v>
      </c>
    </row>
    <row r="525" spans="1:4">
      <c r="A525" s="1" t="s">
        <v>498</v>
      </c>
      <c r="B525" s="1" t="s">
        <v>797</v>
      </c>
      <c r="C525" s="1" t="s">
        <v>799</v>
      </c>
      <c r="D525" s="1" t="s">
        <v>1064</v>
      </c>
    </row>
    <row r="526" spans="1:4">
      <c r="A526" s="1" t="s">
        <v>498</v>
      </c>
      <c r="B526" s="1" t="s">
        <v>798</v>
      </c>
      <c r="C526" s="1" t="s">
        <v>799</v>
      </c>
      <c r="D526" s="1" t="s">
        <v>1065</v>
      </c>
    </row>
    <row r="527" spans="1:4">
      <c r="A527" s="1" t="s">
        <v>499</v>
      </c>
      <c r="B527" s="1" t="s">
        <v>794</v>
      </c>
      <c r="C527" s="1" t="s">
        <v>799</v>
      </c>
      <c r="D527" s="1" t="s">
        <v>1066</v>
      </c>
    </row>
    <row r="528" spans="1:4">
      <c r="A528" s="1" t="s">
        <v>499</v>
      </c>
      <c r="B528" s="1" t="s">
        <v>795</v>
      </c>
      <c r="C528" s="1" t="s">
        <v>799</v>
      </c>
      <c r="D528" s="1" t="s">
        <v>802</v>
      </c>
    </row>
    <row r="529" spans="1:4">
      <c r="A529" s="1" t="s">
        <v>499</v>
      </c>
      <c r="B529" s="1" t="s">
        <v>796</v>
      </c>
      <c r="C529" s="1" t="s">
        <v>799</v>
      </c>
    </row>
    <row r="530" spans="1:4">
      <c r="A530" s="1" t="s">
        <v>499</v>
      </c>
      <c r="B530" s="1" t="s">
        <v>797</v>
      </c>
      <c r="C530" s="1" t="s">
        <v>799</v>
      </c>
      <c r="D530" s="1" t="s">
        <v>1067</v>
      </c>
    </row>
    <row r="531" spans="1:4">
      <c r="A531" s="1" t="s">
        <v>499</v>
      </c>
      <c r="B531" s="1" t="s">
        <v>798</v>
      </c>
      <c r="C531" s="1" t="s">
        <v>799</v>
      </c>
      <c r="D531" s="1" t="s">
        <v>1068</v>
      </c>
    </row>
    <row r="532" spans="1:4">
      <c r="A532" s="1" t="s">
        <v>500</v>
      </c>
      <c r="B532" s="1" t="s">
        <v>794</v>
      </c>
      <c r="C532" s="1" t="s">
        <v>799</v>
      </c>
      <c r="D532" s="1" t="s">
        <v>1069</v>
      </c>
    </row>
    <row r="533" spans="1:4">
      <c r="A533" s="1" t="s">
        <v>500</v>
      </c>
      <c r="B533" s="1" t="s">
        <v>795</v>
      </c>
      <c r="C533" s="1" t="s">
        <v>799</v>
      </c>
      <c r="D533" s="1" t="s">
        <v>802</v>
      </c>
    </row>
    <row r="534" spans="1:4">
      <c r="A534" s="1" t="s">
        <v>500</v>
      </c>
      <c r="B534" s="1" t="s">
        <v>796</v>
      </c>
      <c r="C534" s="1" t="s">
        <v>799</v>
      </c>
    </row>
    <row r="535" spans="1:4">
      <c r="A535" s="1" t="s">
        <v>500</v>
      </c>
      <c r="B535" s="1" t="s">
        <v>797</v>
      </c>
      <c r="C535" s="1" t="s">
        <v>799</v>
      </c>
      <c r="D535" s="1" t="s">
        <v>1070</v>
      </c>
    </row>
    <row r="536" spans="1:4">
      <c r="A536" s="1" t="s">
        <v>500</v>
      </c>
      <c r="B536" s="1" t="s">
        <v>798</v>
      </c>
      <c r="C536" s="1" t="s">
        <v>799</v>
      </c>
      <c r="D536" s="1" t="s">
        <v>1071</v>
      </c>
    </row>
    <row r="537" spans="1:4">
      <c r="A537" s="1" t="s">
        <v>501</v>
      </c>
      <c r="B537" s="1" t="s">
        <v>794</v>
      </c>
      <c r="C537" s="1" t="s">
        <v>799</v>
      </c>
      <c r="D537" s="1" t="s">
        <v>1072</v>
      </c>
    </row>
    <row r="538" spans="1:4">
      <c r="A538" s="1" t="s">
        <v>501</v>
      </c>
      <c r="B538" s="1" t="s">
        <v>795</v>
      </c>
      <c r="C538" s="1" t="s">
        <v>799</v>
      </c>
      <c r="D538" s="1" t="s">
        <v>802</v>
      </c>
    </row>
    <row r="539" spans="1:4">
      <c r="A539" s="1" t="s">
        <v>501</v>
      </c>
      <c r="B539" s="1" t="s">
        <v>796</v>
      </c>
      <c r="C539" s="1" t="s">
        <v>799</v>
      </c>
    </row>
    <row r="540" spans="1:4">
      <c r="A540" s="1" t="s">
        <v>501</v>
      </c>
      <c r="B540" s="1" t="s">
        <v>797</v>
      </c>
      <c r="C540" s="1" t="s">
        <v>799</v>
      </c>
      <c r="D540" s="1" t="s">
        <v>1073</v>
      </c>
    </row>
    <row r="541" spans="1:4">
      <c r="A541" s="1" t="s">
        <v>501</v>
      </c>
      <c r="B541" s="1" t="s">
        <v>798</v>
      </c>
      <c r="C541" s="1" t="s">
        <v>799</v>
      </c>
      <c r="D541" s="1" t="s">
        <v>1074</v>
      </c>
    </row>
    <row r="542" spans="1:4">
      <c r="A542" s="1" t="s">
        <v>502</v>
      </c>
      <c r="B542" s="1" t="s">
        <v>794</v>
      </c>
      <c r="C542" s="1" t="s">
        <v>799</v>
      </c>
      <c r="D542" s="1" t="s">
        <v>1075</v>
      </c>
    </row>
    <row r="543" spans="1:4">
      <c r="A543" s="1" t="s">
        <v>502</v>
      </c>
      <c r="B543" s="1" t="s">
        <v>795</v>
      </c>
      <c r="C543" s="1" t="s">
        <v>799</v>
      </c>
      <c r="D543" s="1" t="s">
        <v>802</v>
      </c>
    </row>
    <row r="544" spans="1:4">
      <c r="A544" s="1" t="s">
        <v>502</v>
      </c>
      <c r="B544" s="1" t="s">
        <v>796</v>
      </c>
      <c r="C544" s="1" t="s">
        <v>799</v>
      </c>
    </row>
    <row r="545" spans="1:4">
      <c r="A545" s="1" t="s">
        <v>502</v>
      </c>
      <c r="B545" s="1" t="s">
        <v>797</v>
      </c>
      <c r="C545" s="1" t="s">
        <v>799</v>
      </c>
      <c r="D545" s="1" t="s">
        <v>1076</v>
      </c>
    </row>
    <row r="546" spans="1:4">
      <c r="A546" s="1" t="s">
        <v>502</v>
      </c>
      <c r="B546" s="1" t="s">
        <v>798</v>
      </c>
      <c r="C546" s="1" t="s">
        <v>799</v>
      </c>
      <c r="D546" s="1" t="s">
        <v>1077</v>
      </c>
    </row>
    <row r="547" spans="1:4">
      <c r="A547" s="1" t="s">
        <v>503</v>
      </c>
      <c r="B547" s="1" t="s">
        <v>794</v>
      </c>
      <c r="C547" s="1" t="s">
        <v>799</v>
      </c>
      <c r="D547" s="1" t="s">
        <v>1078</v>
      </c>
    </row>
    <row r="548" spans="1:4">
      <c r="A548" s="1" t="s">
        <v>503</v>
      </c>
      <c r="B548" s="1" t="s">
        <v>795</v>
      </c>
      <c r="C548" s="1" t="s">
        <v>799</v>
      </c>
      <c r="D548" s="1" t="s">
        <v>802</v>
      </c>
    </row>
    <row r="549" spans="1:4">
      <c r="A549" s="1" t="s">
        <v>503</v>
      </c>
      <c r="B549" s="1" t="s">
        <v>796</v>
      </c>
      <c r="C549" s="1" t="s">
        <v>799</v>
      </c>
    </row>
    <row r="550" spans="1:4">
      <c r="A550" s="1" t="s">
        <v>503</v>
      </c>
      <c r="B550" s="1" t="s">
        <v>797</v>
      </c>
      <c r="C550" s="1" t="s">
        <v>799</v>
      </c>
      <c r="D550" s="1" t="s">
        <v>1079</v>
      </c>
    </row>
    <row r="551" spans="1:4">
      <c r="A551" s="1" t="s">
        <v>503</v>
      </c>
      <c r="B551" s="1" t="s">
        <v>798</v>
      </c>
      <c r="C551" s="1" t="s">
        <v>799</v>
      </c>
      <c r="D551" s="1" t="s">
        <v>1080</v>
      </c>
    </row>
    <row r="552" spans="1:4">
      <c r="A552" s="1" t="s">
        <v>504</v>
      </c>
      <c r="B552" s="1" t="s">
        <v>794</v>
      </c>
      <c r="C552" s="1" t="s">
        <v>799</v>
      </c>
      <c r="D552" s="1" t="s">
        <v>1081</v>
      </c>
    </row>
    <row r="553" spans="1:4">
      <c r="A553" s="1" t="s">
        <v>504</v>
      </c>
      <c r="B553" s="1" t="s">
        <v>795</v>
      </c>
      <c r="C553" s="1" t="s">
        <v>799</v>
      </c>
      <c r="D553" s="1" t="s">
        <v>802</v>
      </c>
    </row>
    <row r="554" spans="1:4">
      <c r="A554" s="1" t="s">
        <v>504</v>
      </c>
      <c r="B554" s="1" t="s">
        <v>796</v>
      </c>
      <c r="C554" s="1" t="s">
        <v>799</v>
      </c>
    </row>
    <row r="555" spans="1:4">
      <c r="A555" s="1" t="s">
        <v>504</v>
      </c>
      <c r="B555" s="1" t="s">
        <v>797</v>
      </c>
      <c r="C555" s="1" t="s">
        <v>799</v>
      </c>
      <c r="D555" s="1" t="s">
        <v>1082</v>
      </c>
    </row>
    <row r="556" spans="1:4">
      <c r="A556" s="1" t="s">
        <v>504</v>
      </c>
      <c r="B556" s="1" t="s">
        <v>798</v>
      </c>
      <c r="C556" s="1" t="s">
        <v>799</v>
      </c>
      <c r="D556" s="1" t="s">
        <v>1083</v>
      </c>
    </row>
    <row r="557" spans="1:4">
      <c r="A557" s="1" t="s">
        <v>505</v>
      </c>
      <c r="B557" s="1" t="s">
        <v>794</v>
      </c>
      <c r="C557" s="1" t="s">
        <v>799</v>
      </c>
      <c r="D557" s="1" t="s">
        <v>1084</v>
      </c>
    </row>
    <row r="558" spans="1:4">
      <c r="A558" s="1" t="s">
        <v>505</v>
      </c>
      <c r="B558" s="1" t="s">
        <v>795</v>
      </c>
      <c r="C558" s="1" t="s">
        <v>799</v>
      </c>
      <c r="D558" s="1" t="s">
        <v>802</v>
      </c>
    </row>
    <row r="559" spans="1:4">
      <c r="A559" s="1" t="s">
        <v>505</v>
      </c>
      <c r="B559" s="1" t="s">
        <v>796</v>
      </c>
      <c r="C559" s="1" t="s">
        <v>799</v>
      </c>
    </row>
    <row r="560" spans="1:4">
      <c r="A560" s="1" t="s">
        <v>505</v>
      </c>
      <c r="B560" s="1" t="s">
        <v>797</v>
      </c>
      <c r="C560" s="1" t="s">
        <v>799</v>
      </c>
      <c r="D560" s="1" t="s">
        <v>1085</v>
      </c>
    </row>
    <row r="561" spans="1:4">
      <c r="A561" s="1" t="s">
        <v>505</v>
      </c>
      <c r="B561" s="1" t="s">
        <v>798</v>
      </c>
      <c r="C561" s="1" t="s">
        <v>799</v>
      </c>
      <c r="D561" s="1" t="s">
        <v>1086</v>
      </c>
    </row>
    <row r="562" spans="1:4">
      <c r="A562" s="1" t="s">
        <v>506</v>
      </c>
      <c r="B562" s="1" t="s">
        <v>794</v>
      </c>
      <c r="C562" s="1" t="s">
        <v>799</v>
      </c>
      <c r="D562" s="1" t="s">
        <v>1087</v>
      </c>
    </row>
    <row r="563" spans="1:4">
      <c r="A563" s="1" t="s">
        <v>506</v>
      </c>
      <c r="B563" s="1" t="s">
        <v>795</v>
      </c>
      <c r="C563" s="1" t="s">
        <v>799</v>
      </c>
      <c r="D563" s="1" t="s">
        <v>802</v>
      </c>
    </row>
    <row r="564" spans="1:4">
      <c r="A564" s="1" t="s">
        <v>506</v>
      </c>
      <c r="B564" s="1" t="s">
        <v>796</v>
      </c>
      <c r="C564" s="1" t="s">
        <v>799</v>
      </c>
    </row>
    <row r="565" spans="1:4">
      <c r="A565" s="1" t="s">
        <v>506</v>
      </c>
      <c r="B565" s="1" t="s">
        <v>797</v>
      </c>
      <c r="C565" s="1" t="s">
        <v>799</v>
      </c>
      <c r="D565" s="1" t="s">
        <v>1088</v>
      </c>
    </row>
    <row r="566" spans="1:4">
      <c r="A566" s="1" t="s">
        <v>506</v>
      </c>
      <c r="B566" s="1" t="s">
        <v>798</v>
      </c>
      <c r="C566" s="1" t="s">
        <v>799</v>
      </c>
      <c r="D566" s="1" t="s">
        <v>1089</v>
      </c>
    </row>
    <row r="567" spans="1:4">
      <c r="A567" s="1" t="s">
        <v>507</v>
      </c>
      <c r="B567" s="1" t="s">
        <v>794</v>
      </c>
      <c r="C567" s="1" t="s">
        <v>799</v>
      </c>
      <c r="D567" s="1" t="s">
        <v>1090</v>
      </c>
    </row>
    <row r="568" spans="1:4">
      <c r="A568" s="1" t="s">
        <v>507</v>
      </c>
      <c r="B568" s="1" t="s">
        <v>795</v>
      </c>
      <c r="C568" s="1" t="s">
        <v>799</v>
      </c>
      <c r="D568" s="1" t="s">
        <v>802</v>
      </c>
    </row>
    <row r="569" spans="1:4">
      <c r="A569" s="1" t="s">
        <v>507</v>
      </c>
      <c r="B569" s="1" t="s">
        <v>796</v>
      </c>
      <c r="C569" s="1" t="s">
        <v>799</v>
      </c>
    </row>
    <row r="570" spans="1:4">
      <c r="A570" s="1" t="s">
        <v>507</v>
      </c>
      <c r="B570" s="1" t="s">
        <v>797</v>
      </c>
      <c r="C570" s="1" t="s">
        <v>799</v>
      </c>
      <c r="D570" s="1" t="s">
        <v>1091</v>
      </c>
    </row>
    <row r="571" spans="1:4">
      <c r="A571" s="1" t="s">
        <v>507</v>
      </c>
      <c r="B571" s="1" t="s">
        <v>798</v>
      </c>
      <c r="C571" s="1" t="s">
        <v>799</v>
      </c>
      <c r="D571" s="1" t="s">
        <v>1092</v>
      </c>
    </row>
    <row r="572" spans="1:4">
      <c r="A572" s="1" t="s">
        <v>508</v>
      </c>
      <c r="B572" s="1" t="s">
        <v>794</v>
      </c>
      <c r="C572" s="1" t="s">
        <v>799</v>
      </c>
      <c r="D572" s="1" t="s">
        <v>1093</v>
      </c>
    </row>
    <row r="573" spans="1:4">
      <c r="A573" s="1" t="s">
        <v>508</v>
      </c>
      <c r="B573" s="1" t="s">
        <v>795</v>
      </c>
      <c r="C573" s="1" t="s">
        <v>799</v>
      </c>
      <c r="D573" s="1" t="s">
        <v>802</v>
      </c>
    </row>
    <row r="574" spans="1:4">
      <c r="A574" s="1" t="s">
        <v>508</v>
      </c>
      <c r="B574" s="1" t="s">
        <v>796</v>
      </c>
      <c r="C574" s="1" t="s">
        <v>799</v>
      </c>
    </row>
    <row r="575" spans="1:4">
      <c r="A575" s="1" t="s">
        <v>508</v>
      </c>
      <c r="B575" s="1" t="s">
        <v>797</v>
      </c>
      <c r="C575" s="1" t="s">
        <v>799</v>
      </c>
      <c r="D575" s="1" t="s">
        <v>1094</v>
      </c>
    </row>
    <row r="576" spans="1:4">
      <c r="A576" s="1" t="s">
        <v>508</v>
      </c>
      <c r="B576" s="1" t="s">
        <v>798</v>
      </c>
      <c r="C576" s="1" t="s">
        <v>799</v>
      </c>
      <c r="D576" s="1" t="s">
        <v>1095</v>
      </c>
    </row>
    <row r="577" spans="1:4">
      <c r="A577" s="1" t="s">
        <v>509</v>
      </c>
      <c r="B577" s="1" t="s">
        <v>794</v>
      </c>
      <c r="C577" s="1" t="s">
        <v>799</v>
      </c>
      <c r="D577" s="1" t="s">
        <v>1096</v>
      </c>
    </row>
    <row r="578" spans="1:4">
      <c r="A578" s="1" t="s">
        <v>509</v>
      </c>
      <c r="B578" s="1" t="s">
        <v>795</v>
      </c>
      <c r="C578" s="1" t="s">
        <v>799</v>
      </c>
      <c r="D578" s="1" t="s">
        <v>802</v>
      </c>
    </row>
    <row r="579" spans="1:4">
      <c r="A579" s="1" t="s">
        <v>509</v>
      </c>
      <c r="B579" s="1" t="s">
        <v>796</v>
      </c>
      <c r="C579" s="1" t="s">
        <v>799</v>
      </c>
    </row>
    <row r="580" spans="1:4">
      <c r="A580" s="1" t="s">
        <v>509</v>
      </c>
      <c r="B580" s="1" t="s">
        <v>797</v>
      </c>
      <c r="C580" s="1" t="s">
        <v>799</v>
      </c>
      <c r="D580" s="1" t="s">
        <v>1097</v>
      </c>
    </row>
    <row r="581" spans="1:4">
      <c r="A581" s="1" t="s">
        <v>509</v>
      </c>
      <c r="B581" s="1" t="s">
        <v>798</v>
      </c>
      <c r="C581" s="1" t="s">
        <v>799</v>
      </c>
      <c r="D581" s="1" t="s">
        <v>1098</v>
      </c>
    </row>
    <row r="582" spans="1:4">
      <c r="A582" s="1" t="s">
        <v>510</v>
      </c>
      <c r="B582" s="1" t="s">
        <v>794</v>
      </c>
      <c r="C582" s="1" t="s">
        <v>799</v>
      </c>
      <c r="D582" s="1" t="s">
        <v>1099</v>
      </c>
    </row>
    <row r="583" spans="1:4">
      <c r="A583" s="1" t="s">
        <v>510</v>
      </c>
      <c r="B583" s="1" t="s">
        <v>795</v>
      </c>
      <c r="C583" s="1" t="s">
        <v>799</v>
      </c>
      <c r="D583" s="1" t="s">
        <v>802</v>
      </c>
    </row>
    <row r="584" spans="1:4">
      <c r="A584" s="1" t="s">
        <v>510</v>
      </c>
      <c r="B584" s="1" t="s">
        <v>796</v>
      </c>
      <c r="C584" s="1" t="s">
        <v>799</v>
      </c>
    </row>
    <row r="585" spans="1:4">
      <c r="A585" s="1" t="s">
        <v>510</v>
      </c>
      <c r="B585" s="1" t="s">
        <v>797</v>
      </c>
      <c r="C585" s="1" t="s">
        <v>799</v>
      </c>
      <c r="D585" s="1" t="s">
        <v>1100</v>
      </c>
    </row>
    <row r="586" spans="1:4">
      <c r="A586" s="1" t="s">
        <v>510</v>
      </c>
      <c r="B586" s="1" t="s">
        <v>798</v>
      </c>
      <c r="C586" s="1" t="s">
        <v>799</v>
      </c>
      <c r="D586" s="1" t="s">
        <v>1101</v>
      </c>
    </row>
    <row r="587" spans="1:4">
      <c r="A587" s="1" t="s">
        <v>511</v>
      </c>
      <c r="B587" s="1" t="s">
        <v>794</v>
      </c>
      <c r="C587" s="1" t="s">
        <v>799</v>
      </c>
      <c r="D587" s="1" t="s">
        <v>1102</v>
      </c>
    </row>
    <row r="588" spans="1:4">
      <c r="A588" s="1" t="s">
        <v>511</v>
      </c>
      <c r="B588" s="1" t="s">
        <v>795</v>
      </c>
      <c r="C588" s="1" t="s">
        <v>799</v>
      </c>
      <c r="D588" s="1" t="s">
        <v>802</v>
      </c>
    </row>
    <row r="589" spans="1:4">
      <c r="A589" s="1" t="s">
        <v>511</v>
      </c>
      <c r="B589" s="1" t="s">
        <v>796</v>
      </c>
      <c r="C589" s="1" t="s">
        <v>799</v>
      </c>
    </row>
    <row r="590" spans="1:4">
      <c r="A590" s="1" t="s">
        <v>511</v>
      </c>
      <c r="B590" s="1" t="s">
        <v>797</v>
      </c>
      <c r="C590" s="1" t="s">
        <v>799</v>
      </c>
      <c r="D590" s="1" t="s">
        <v>1103</v>
      </c>
    </row>
    <row r="591" spans="1:4">
      <c r="A591" s="1" t="s">
        <v>511</v>
      </c>
      <c r="B591" s="1" t="s">
        <v>798</v>
      </c>
      <c r="C591" s="1" t="s">
        <v>799</v>
      </c>
      <c r="D591" s="1" t="s">
        <v>1104</v>
      </c>
    </row>
    <row r="592" spans="1:4">
      <c r="A592" s="1" t="s">
        <v>512</v>
      </c>
      <c r="B592" s="1" t="s">
        <v>794</v>
      </c>
      <c r="C592" s="1" t="s">
        <v>799</v>
      </c>
      <c r="D592" s="1" t="s">
        <v>1105</v>
      </c>
    </row>
    <row r="593" spans="1:4">
      <c r="A593" s="1" t="s">
        <v>512</v>
      </c>
      <c r="B593" s="1" t="s">
        <v>795</v>
      </c>
      <c r="C593" s="1" t="s">
        <v>799</v>
      </c>
      <c r="D593" s="1" t="s">
        <v>802</v>
      </c>
    </row>
    <row r="594" spans="1:4">
      <c r="A594" s="1" t="s">
        <v>512</v>
      </c>
      <c r="B594" s="1" t="s">
        <v>796</v>
      </c>
      <c r="C594" s="1" t="s">
        <v>799</v>
      </c>
    </row>
    <row r="595" spans="1:4">
      <c r="A595" s="1" t="s">
        <v>512</v>
      </c>
      <c r="B595" s="1" t="s">
        <v>797</v>
      </c>
      <c r="C595" s="1" t="s">
        <v>799</v>
      </c>
      <c r="D595" s="1" t="s">
        <v>1106</v>
      </c>
    </row>
    <row r="596" spans="1:4">
      <c r="A596" s="1" t="s">
        <v>512</v>
      </c>
      <c r="B596" s="1" t="s">
        <v>798</v>
      </c>
      <c r="C596" s="1" t="s">
        <v>799</v>
      </c>
      <c r="D596" s="1" t="s">
        <v>1107</v>
      </c>
    </row>
    <row r="597" spans="1:4">
      <c r="A597" s="1" t="s">
        <v>513</v>
      </c>
      <c r="B597" s="1" t="s">
        <v>794</v>
      </c>
      <c r="C597" s="1" t="s">
        <v>799</v>
      </c>
      <c r="D597" s="1" t="s">
        <v>1108</v>
      </c>
    </row>
    <row r="598" spans="1:4">
      <c r="A598" s="1" t="s">
        <v>513</v>
      </c>
      <c r="B598" s="1" t="s">
        <v>795</v>
      </c>
      <c r="C598" s="1" t="s">
        <v>799</v>
      </c>
      <c r="D598" s="1" t="s">
        <v>802</v>
      </c>
    </row>
    <row r="599" spans="1:4">
      <c r="A599" s="1" t="s">
        <v>513</v>
      </c>
      <c r="B599" s="1" t="s">
        <v>796</v>
      </c>
      <c r="C599" s="1" t="s">
        <v>799</v>
      </c>
    </row>
    <row r="600" spans="1:4">
      <c r="A600" s="1" t="s">
        <v>513</v>
      </c>
      <c r="B600" s="1" t="s">
        <v>797</v>
      </c>
      <c r="C600" s="1" t="s">
        <v>799</v>
      </c>
      <c r="D600" s="1" t="s">
        <v>1109</v>
      </c>
    </row>
    <row r="601" spans="1:4">
      <c r="A601" s="1" t="s">
        <v>513</v>
      </c>
      <c r="B601" s="1" t="s">
        <v>798</v>
      </c>
      <c r="C601" s="1" t="s">
        <v>799</v>
      </c>
      <c r="D601" s="1" t="s">
        <v>1110</v>
      </c>
    </row>
    <row r="602" spans="1:4">
      <c r="A602" s="1" t="s">
        <v>514</v>
      </c>
      <c r="B602" s="1" t="s">
        <v>794</v>
      </c>
      <c r="C602" s="1" t="s">
        <v>799</v>
      </c>
      <c r="D602" s="1" t="s">
        <v>1111</v>
      </c>
    </row>
    <row r="603" spans="1:4">
      <c r="A603" s="1" t="s">
        <v>514</v>
      </c>
      <c r="B603" s="1" t="s">
        <v>795</v>
      </c>
      <c r="C603" s="1" t="s">
        <v>799</v>
      </c>
      <c r="D603" s="1" t="s">
        <v>802</v>
      </c>
    </row>
    <row r="604" spans="1:4">
      <c r="A604" s="1" t="s">
        <v>514</v>
      </c>
      <c r="B604" s="1" t="s">
        <v>796</v>
      </c>
      <c r="C604" s="1" t="s">
        <v>799</v>
      </c>
    </row>
    <row r="605" spans="1:4">
      <c r="A605" s="1" t="s">
        <v>514</v>
      </c>
      <c r="B605" s="1" t="s">
        <v>797</v>
      </c>
      <c r="C605" s="1" t="s">
        <v>799</v>
      </c>
      <c r="D605" s="1" t="s">
        <v>1112</v>
      </c>
    </row>
    <row r="606" spans="1:4">
      <c r="A606" s="1" t="s">
        <v>514</v>
      </c>
      <c r="B606" s="1" t="s">
        <v>798</v>
      </c>
      <c r="C606" s="1" t="s">
        <v>799</v>
      </c>
      <c r="D606" s="1" t="s">
        <v>1113</v>
      </c>
    </row>
    <row r="607" spans="1:4">
      <c r="A607" s="1" t="s">
        <v>515</v>
      </c>
      <c r="B607" s="1" t="s">
        <v>794</v>
      </c>
      <c r="C607" s="1" t="s">
        <v>799</v>
      </c>
      <c r="D607" s="1" t="s">
        <v>1114</v>
      </c>
    </row>
    <row r="608" spans="1:4">
      <c r="A608" s="1" t="s">
        <v>515</v>
      </c>
      <c r="B608" s="1" t="s">
        <v>795</v>
      </c>
      <c r="C608" s="1" t="s">
        <v>799</v>
      </c>
      <c r="D608" s="1" t="s">
        <v>802</v>
      </c>
    </row>
    <row r="609" spans="1:4">
      <c r="A609" s="1" t="s">
        <v>515</v>
      </c>
      <c r="B609" s="1" t="s">
        <v>796</v>
      </c>
      <c r="C609" s="1" t="s">
        <v>799</v>
      </c>
    </row>
    <row r="610" spans="1:4">
      <c r="A610" s="1" t="s">
        <v>515</v>
      </c>
      <c r="B610" s="1" t="s">
        <v>797</v>
      </c>
      <c r="C610" s="1" t="s">
        <v>799</v>
      </c>
      <c r="D610" s="1" t="s">
        <v>1115</v>
      </c>
    </row>
    <row r="611" spans="1:4">
      <c r="A611" s="1" t="s">
        <v>515</v>
      </c>
      <c r="B611" s="1" t="s">
        <v>798</v>
      </c>
      <c r="C611" s="1" t="s">
        <v>799</v>
      </c>
      <c r="D611" s="1" t="s">
        <v>1116</v>
      </c>
    </row>
    <row r="612" spans="1:4">
      <c r="A612" s="1" t="s">
        <v>516</v>
      </c>
      <c r="B612" s="1" t="s">
        <v>794</v>
      </c>
      <c r="C612" s="1" t="s">
        <v>799</v>
      </c>
      <c r="D612" s="1" t="s">
        <v>1117</v>
      </c>
    </row>
    <row r="613" spans="1:4">
      <c r="A613" s="1" t="s">
        <v>516</v>
      </c>
      <c r="B613" s="1" t="s">
        <v>795</v>
      </c>
      <c r="C613" s="1" t="s">
        <v>799</v>
      </c>
      <c r="D613" s="1" t="s">
        <v>802</v>
      </c>
    </row>
    <row r="614" spans="1:4">
      <c r="A614" s="1" t="s">
        <v>516</v>
      </c>
      <c r="B614" s="1" t="s">
        <v>796</v>
      </c>
      <c r="C614" s="1" t="s">
        <v>799</v>
      </c>
    </row>
    <row r="615" spans="1:4">
      <c r="A615" s="1" t="s">
        <v>516</v>
      </c>
      <c r="B615" s="1" t="s">
        <v>797</v>
      </c>
      <c r="C615" s="1" t="s">
        <v>800</v>
      </c>
      <c r="D615" s="1" t="s">
        <v>1118</v>
      </c>
    </row>
    <row r="616" spans="1:4">
      <c r="A616" s="1" t="s">
        <v>516</v>
      </c>
      <c r="B616" s="1" t="s">
        <v>798</v>
      </c>
      <c r="C616" s="1" t="s">
        <v>799</v>
      </c>
      <c r="D616" s="1" t="s">
        <v>1119</v>
      </c>
    </row>
    <row r="617" spans="1:4">
      <c r="A617" s="1" t="s">
        <v>517</v>
      </c>
      <c r="B617" s="1" t="s">
        <v>794</v>
      </c>
      <c r="C617" s="1" t="s">
        <v>799</v>
      </c>
      <c r="D617" s="1" t="s">
        <v>1120</v>
      </c>
    </row>
    <row r="618" spans="1:4">
      <c r="A618" s="1" t="s">
        <v>517</v>
      </c>
      <c r="B618" s="1" t="s">
        <v>795</v>
      </c>
      <c r="C618" s="1" t="s">
        <v>799</v>
      </c>
      <c r="D618" s="1" t="s">
        <v>802</v>
      </c>
    </row>
    <row r="619" spans="1:4">
      <c r="A619" s="1" t="s">
        <v>517</v>
      </c>
      <c r="B619" s="1" t="s">
        <v>796</v>
      </c>
      <c r="C619" s="1" t="s">
        <v>799</v>
      </c>
    </row>
    <row r="620" spans="1:4">
      <c r="A620" s="1" t="s">
        <v>517</v>
      </c>
      <c r="B620" s="1" t="s">
        <v>797</v>
      </c>
      <c r="C620" s="1" t="s">
        <v>799</v>
      </c>
      <c r="D620" s="1" t="s">
        <v>1121</v>
      </c>
    </row>
    <row r="621" spans="1:4">
      <c r="A621" s="1" t="s">
        <v>517</v>
      </c>
      <c r="B621" s="1" t="s">
        <v>798</v>
      </c>
      <c r="C621" s="1" t="s">
        <v>799</v>
      </c>
      <c r="D621" s="1" t="s">
        <v>1122</v>
      </c>
    </row>
    <row r="622" spans="1:4">
      <c r="A622" s="1" t="s">
        <v>518</v>
      </c>
      <c r="B622" s="1" t="s">
        <v>794</v>
      </c>
      <c r="C622" s="1" t="s">
        <v>799</v>
      </c>
      <c r="D622" s="1" t="s">
        <v>1123</v>
      </c>
    </row>
    <row r="623" spans="1:4">
      <c r="A623" s="1" t="s">
        <v>518</v>
      </c>
      <c r="B623" s="1" t="s">
        <v>795</v>
      </c>
      <c r="C623" s="1" t="s">
        <v>799</v>
      </c>
      <c r="D623" s="1" t="s">
        <v>802</v>
      </c>
    </row>
    <row r="624" spans="1:4">
      <c r="A624" s="1" t="s">
        <v>518</v>
      </c>
      <c r="B624" s="1" t="s">
        <v>796</v>
      </c>
      <c r="C624" s="1" t="s">
        <v>799</v>
      </c>
    </row>
    <row r="625" spans="1:4">
      <c r="A625" s="1" t="s">
        <v>518</v>
      </c>
      <c r="B625" s="1" t="s">
        <v>797</v>
      </c>
      <c r="C625" s="1" t="s">
        <v>799</v>
      </c>
      <c r="D625" s="1" t="s">
        <v>1124</v>
      </c>
    </row>
    <row r="626" spans="1:4">
      <c r="A626" s="1" t="s">
        <v>518</v>
      </c>
      <c r="B626" s="1" t="s">
        <v>798</v>
      </c>
      <c r="C626" s="1" t="s">
        <v>799</v>
      </c>
      <c r="D626" s="1" t="s">
        <v>1029</v>
      </c>
    </row>
    <row r="627" spans="1:4">
      <c r="A627" s="1" t="s">
        <v>519</v>
      </c>
      <c r="B627" s="1" t="s">
        <v>794</v>
      </c>
      <c r="C627" s="1" t="s">
        <v>799</v>
      </c>
      <c r="D627" s="1" t="s">
        <v>1125</v>
      </c>
    </row>
    <row r="628" spans="1:4">
      <c r="A628" s="1" t="s">
        <v>519</v>
      </c>
      <c r="B628" s="1" t="s">
        <v>795</v>
      </c>
      <c r="C628" s="1" t="s">
        <v>799</v>
      </c>
      <c r="D628" s="1" t="s">
        <v>802</v>
      </c>
    </row>
    <row r="629" spans="1:4">
      <c r="A629" s="1" t="s">
        <v>519</v>
      </c>
      <c r="B629" s="1" t="s">
        <v>796</v>
      </c>
      <c r="C629" s="1" t="s">
        <v>799</v>
      </c>
    </row>
    <row r="630" spans="1:4">
      <c r="A630" s="1" t="s">
        <v>519</v>
      </c>
      <c r="B630" s="1" t="s">
        <v>797</v>
      </c>
      <c r="C630" s="1" t="s">
        <v>799</v>
      </c>
      <c r="D630" s="1" t="s">
        <v>1126</v>
      </c>
    </row>
    <row r="631" spans="1:4">
      <c r="A631" s="1" t="s">
        <v>519</v>
      </c>
      <c r="B631" s="1" t="s">
        <v>798</v>
      </c>
      <c r="C631" s="1" t="s">
        <v>799</v>
      </c>
      <c r="D631" s="1" t="s">
        <v>1127</v>
      </c>
    </row>
    <row r="632" spans="1:4">
      <c r="A632" s="1" t="s">
        <v>520</v>
      </c>
      <c r="B632" s="1" t="s">
        <v>794</v>
      </c>
      <c r="C632" s="1" t="s">
        <v>799</v>
      </c>
      <c r="D632" s="1" t="s">
        <v>1128</v>
      </c>
    </row>
    <row r="633" spans="1:4">
      <c r="A633" s="1" t="s">
        <v>520</v>
      </c>
      <c r="B633" s="1" t="s">
        <v>795</v>
      </c>
      <c r="C633" s="1" t="s">
        <v>799</v>
      </c>
      <c r="D633" s="1" t="s">
        <v>802</v>
      </c>
    </row>
    <row r="634" spans="1:4">
      <c r="A634" s="1" t="s">
        <v>520</v>
      </c>
      <c r="B634" s="1" t="s">
        <v>796</v>
      </c>
      <c r="C634" s="1" t="s">
        <v>799</v>
      </c>
    </row>
    <row r="635" spans="1:4">
      <c r="A635" s="1" t="s">
        <v>520</v>
      </c>
      <c r="B635" s="1" t="s">
        <v>797</v>
      </c>
      <c r="C635" s="1" t="s">
        <v>799</v>
      </c>
      <c r="D635" s="1" t="s">
        <v>1129</v>
      </c>
    </row>
    <row r="636" spans="1:4">
      <c r="A636" s="1" t="s">
        <v>520</v>
      </c>
      <c r="B636" s="1" t="s">
        <v>798</v>
      </c>
      <c r="C636" s="1" t="s">
        <v>799</v>
      </c>
      <c r="D636" s="1" t="s">
        <v>1130</v>
      </c>
    </row>
    <row r="637" spans="1:4">
      <c r="A637" s="1" t="s">
        <v>521</v>
      </c>
      <c r="B637" s="1" t="s">
        <v>794</v>
      </c>
      <c r="C637" s="1" t="s">
        <v>799</v>
      </c>
      <c r="D637" s="1" t="s">
        <v>1131</v>
      </c>
    </row>
    <row r="638" spans="1:4">
      <c r="A638" s="1" t="s">
        <v>521</v>
      </c>
      <c r="B638" s="1" t="s">
        <v>795</v>
      </c>
      <c r="C638" s="1" t="s">
        <v>799</v>
      </c>
      <c r="D638" s="1" t="s">
        <v>802</v>
      </c>
    </row>
    <row r="639" spans="1:4">
      <c r="A639" s="1" t="s">
        <v>521</v>
      </c>
      <c r="B639" s="1" t="s">
        <v>796</v>
      </c>
      <c r="C639" s="1" t="s">
        <v>799</v>
      </c>
    </row>
    <row r="640" spans="1:4">
      <c r="A640" s="1" t="s">
        <v>521</v>
      </c>
      <c r="B640" s="1" t="s">
        <v>797</v>
      </c>
      <c r="C640" s="1" t="s">
        <v>799</v>
      </c>
      <c r="D640" s="1" t="s">
        <v>1132</v>
      </c>
    </row>
    <row r="641" spans="1:4">
      <c r="A641" s="1" t="s">
        <v>521</v>
      </c>
      <c r="B641" s="1" t="s">
        <v>798</v>
      </c>
      <c r="C641" s="1" t="s">
        <v>799</v>
      </c>
      <c r="D641" s="1" t="s">
        <v>1038</v>
      </c>
    </row>
    <row r="642" spans="1:4">
      <c r="A642" s="1" t="s">
        <v>522</v>
      </c>
      <c r="B642" s="1" t="s">
        <v>794</v>
      </c>
      <c r="C642" s="1" t="s">
        <v>799</v>
      </c>
      <c r="D642" s="1" t="s">
        <v>1133</v>
      </c>
    </row>
    <row r="643" spans="1:4">
      <c r="A643" s="1" t="s">
        <v>522</v>
      </c>
      <c r="B643" s="1" t="s">
        <v>795</v>
      </c>
      <c r="C643" s="1" t="s">
        <v>799</v>
      </c>
      <c r="D643" s="1" t="s">
        <v>802</v>
      </c>
    </row>
    <row r="644" spans="1:4">
      <c r="A644" s="1" t="s">
        <v>522</v>
      </c>
      <c r="B644" s="1" t="s">
        <v>796</v>
      </c>
      <c r="C644" s="1" t="s">
        <v>799</v>
      </c>
    </row>
    <row r="645" spans="1:4">
      <c r="A645" s="1" t="s">
        <v>522</v>
      </c>
      <c r="B645" s="1" t="s">
        <v>797</v>
      </c>
      <c r="C645" s="1" t="s">
        <v>799</v>
      </c>
      <c r="D645" s="1" t="s">
        <v>1134</v>
      </c>
    </row>
    <row r="646" spans="1:4">
      <c r="A646" s="1" t="s">
        <v>522</v>
      </c>
      <c r="B646" s="1" t="s">
        <v>798</v>
      </c>
      <c r="C646" s="1" t="s">
        <v>799</v>
      </c>
      <c r="D646" s="1" t="s">
        <v>1135</v>
      </c>
    </row>
    <row r="647" spans="1:4">
      <c r="A647" s="1" t="s">
        <v>523</v>
      </c>
      <c r="B647" s="1" t="s">
        <v>794</v>
      </c>
      <c r="C647" s="1" t="s">
        <v>799</v>
      </c>
      <c r="D647" s="1" t="s">
        <v>1136</v>
      </c>
    </row>
    <row r="648" spans="1:4">
      <c r="A648" s="1" t="s">
        <v>523</v>
      </c>
      <c r="B648" s="1" t="s">
        <v>795</v>
      </c>
      <c r="C648" s="1" t="s">
        <v>799</v>
      </c>
      <c r="D648" s="1" t="s">
        <v>802</v>
      </c>
    </row>
    <row r="649" spans="1:4">
      <c r="A649" s="1" t="s">
        <v>523</v>
      </c>
      <c r="B649" s="1" t="s">
        <v>796</v>
      </c>
      <c r="C649" s="1" t="s">
        <v>799</v>
      </c>
    </row>
    <row r="650" spans="1:4">
      <c r="A650" s="1" t="s">
        <v>523</v>
      </c>
      <c r="B650" s="1" t="s">
        <v>797</v>
      </c>
      <c r="C650" s="1" t="s">
        <v>799</v>
      </c>
      <c r="D650" s="1" t="s">
        <v>1137</v>
      </c>
    </row>
    <row r="651" spans="1:4">
      <c r="A651" s="1" t="s">
        <v>523</v>
      </c>
      <c r="B651" s="1" t="s">
        <v>798</v>
      </c>
      <c r="C651" s="1" t="s">
        <v>799</v>
      </c>
      <c r="D651" s="1" t="s">
        <v>1138</v>
      </c>
    </row>
    <row r="652" spans="1:4">
      <c r="A652" s="1" t="s">
        <v>524</v>
      </c>
      <c r="B652" s="1" t="s">
        <v>794</v>
      </c>
      <c r="C652" s="1" t="s">
        <v>799</v>
      </c>
      <c r="D652" s="1" t="s">
        <v>1139</v>
      </c>
    </row>
    <row r="653" spans="1:4">
      <c r="A653" s="1" t="s">
        <v>524</v>
      </c>
      <c r="B653" s="1" t="s">
        <v>795</v>
      </c>
      <c r="C653" s="1" t="s">
        <v>799</v>
      </c>
      <c r="D653" s="1" t="s">
        <v>802</v>
      </c>
    </row>
    <row r="654" spans="1:4">
      <c r="A654" s="1" t="s">
        <v>524</v>
      </c>
      <c r="B654" s="1" t="s">
        <v>796</v>
      </c>
      <c r="C654" s="1" t="s">
        <v>799</v>
      </c>
    </row>
    <row r="655" spans="1:4">
      <c r="A655" s="1" t="s">
        <v>524</v>
      </c>
      <c r="B655" s="1" t="s">
        <v>797</v>
      </c>
      <c r="C655" s="1" t="s">
        <v>799</v>
      </c>
      <c r="D655" s="1" t="s">
        <v>1140</v>
      </c>
    </row>
    <row r="656" spans="1:4">
      <c r="A656" s="1" t="s">
        <v>524</v>
      </c>
      <c r="B656" s="1" t="s">
        <v>798</v>
      </c>
      <c r="C656" s="1" t="s">
        <v>799</v>
      </c>
      <c r="D656" s="1" t="s">
        <v>1141</v>
      </c>
    </row>
    <row r="657" spans="1:4">
      <c r="A657" s="1" t="s">
        <v>525</v>
      </c>
      <c r="B657" s="1" t="s">
        <v>794</v>
      </c>
      <c r="C657" s="1" t="s">
        <v>799</v>
      </c>
      <c r="D657" s="1" t="s">
        <v>1142</v>
      </c>
    </row>
    <row r="658" spans="1:4">
      <c r="A658" s="1" t="s">
        <v>525</v>
      </c>
      <c r="B658" s="1" t="s">
        <v>795</v>
      </c>
      <c r="C658" s="1" t="s">
        <v>799</v>
      </c>
      <c r="D658" s="1" t="s">
        <v>802</v>
      </c>
    </row>
    <row r="659" spans="1:4">
      <c r="A659" s="1" t="s">
        <v>525</v>
      </c>
      <c r="B659" s="1" t="s">
        <v>796</v>
      </c>
      <c r="C659" s="1" t="s">
        <v>799</v>
      </c>
    </row>
    <row r="660" spans="1:4">
      <c r="A660" s="1" t="s">
        <v>525</v>
      </c>
      <c r="B660" s="1" t="s">
        <v>797</v>
      </c>
      <c r="C660" s="1" t="s">
        <v>799</v>
      </c>
      <c r="D660" s="1" t="s">
        <v>1143</v>
      </c>
    </row>
    <row r="661" spans="1:4">
      <c r="A661" s="1" t="s">
        <v>525</v>
      </c>
      <c r="B661" s="1" t="s">
        <v>798</v>
      </c>
      <c r="C661" s="1" t="s">
        <v>799</v>
      </c>
      <c r="D661" s="1" t="s">
        <v>1144</v>
      </c>
    </row>
    <row r="662" spans="1:4">
      <c r="A662" s="1" t="s">
        <v>526</v>
      </c>
      <c r="B662" s="1" t="s">
        <v>794</v>
      </c>
      <c r="C662" s="1" t="s">
        <v>799</v>
      </c>
      <c r="D662" s="1" t="s">
        <v>1145</v>
      </c>
    </row>
    <row r="663" spans="1:4">
      <c r="A663" s="1" t="s">
        <v>526</v>
      </c>
      <c r="B663" s="1" t="s">
        <v>795</v>
      </c>
      <c r="C663" s="1" t="s">
        <v>799</v>
      </c>
      <c r="D663" s="1" t="s">
        <v>802</v>
      </c>
    </row>
    <row r="664" spans="1:4">
      <c r="A664" s="1" t="s">
        <v>526</v>
      </c>
      <c r="B664" s="1" t="s">
        <v>796</v>
      </c>
      <c r="C664" s="1" t="s">
        <v>799</v>
      </c>
    </row>
    <row r="665" spans="1:4">
      <c r="A665" s="1" t="s">
        <v>526</v>
      </c>
      <c r="B665" s="1" t="s">
        <v>797</v>
      </c>
      <c r="C665" s="1" t="s">
        <v>799</v>
      </c>
      <c r="D665" s="1" t="s">
        <v>1146</v>
      </c>
    </row>
    <row r="666" spans="1:4">
      <c r="A666" s="1" t="s">
        <v>526</v>
      </c>
      <c r="B666" s="1" t="s">
        <v>798</v>
      </c>
      <c r="C666" s="1" t="s">
        <v>799</v>
      </c>
      <c r="D666" s="1" t="s">
        <v>1147</v>
      </c>
    </row>
    <row r="667" spans="1:4">
      <c r="A667" s="1" t="s">
        <v>527</v>
      </c>
      <c r="B667" s="1" t="s">
        <v>794</v>
      </c>
      <c r="C667" s="1" t="s">
        <v>799</v>
      </c>
      <c r="D667" s="1" t="s">
        <v>1148</v>
      </c>
    </row>
    <row r="668" spans="1:4">
      <c r="A668" s="1" t="s">
        <v>527</v>
      </c>
      <c r="B668" s="1" t="s">
        <v>795</v>
      </c>
      <c r="C668" s="1" t="s">
        <v>799</v>
      </c>
      <c r="D668" s="1" t="s">
        <v>802</v>
      </c>
    </row>
    <row r="669" spans="1:4">
      <c r="A669" s="1" t="s">
        <v>527</v>
      </c>
      <c r="B669" s="1" t="s">
        <v>796</v>
      </c>
      <c r="C669" s="1" t="s">
        <v>799</v>
      </c>
    </row>
    <row r="670" spans="1:4">
      <c r="A670" s="1" t="s">
        <v>527</v>
      </c>
      <c r="B670" s="1" t="s">
        <v>797</v>
      </c>
      <c r="C670" s="1" t="s">
        <v>799</v>
      </c>
      <c r="D670" s="1" t="s">
        <v>1149</v>
      </c>
    </row>
    <row r="671" spans="1:4">
      <c r="A671" s="1" t="s">
        <v>527</v>
      </c>
      <c r="B671" s="1" t="s">
        <v>798</v>
      </c>
      <c r="C671" s="1" t="s">
        <v>799</v>
      </c>
      <c r="D671" s="1" t="s">
        <v>1150</v>
      </c>
    </row>
    <row r="672" spans="1:4">
      <c r="A672" s="1" t="s">
        <v>528</v>
      </c>
      <c r="B672" s="1" t="s">
        <v>794</v>
      </c>
      <c r="C672" s="1" t="s">
        <v>799</v>
      </c>
      <c r="D672" s="1" t="s">
        <v>1151</v>
      </c>
    </row>
    <row r="673" spans="1:4">
      <c r="A673" s="1" t="s">
        <v>528</v>
      </c>
      <c r="B673" s="1" t="s">
        <v>795</v>
      </c>
      <c r="C673" s="1" t="s">
        <v>799</v>
      </c>
      <c r="D673" s="1" t="s">
        <v>802</v>
      </c>
    </row>
    <row r="674" spans="1:4">
      <c r="A674" s="1" t="s">
        <v>528</v>
      </c>
      <c r="B674" s="1" t="s">
        <v>796</v>
      </c>
      <c r="C674" s="1" t="s">
        <v>799</v>
      </c>
    </row>
    <row r="675" spans="1:4">
      <c r="A675" s="1" t="s">
        <v>528</v>
      </c>
      <c r="B675" s="1" t="s">
        <v>797</v>
      </c>
      <c r="C675" s="1" t="s">
        <v>799</v>
      </c>
      <c r="D675" s="1" t="s">
        <v>1152</v>
      </c>
    </row>
    <row r="676" spans="1:4">
      <c r="A676" s="1" t="s">
        <v>528</v>
      </c>
      <c r="B676" s="1" t="s">
        <v>798</v>
      </c>
      <c r="C676" s="1" t="s">
        <v>799</v>
      </c>
      <c r="D676" s="1" t="s">
        <v>1153</v>
      </c>
    </row>
    <row r="677" spans="1:4">
      <c r="A677" s="1" t="s">
        <v>529</v>
      </c>
      <c r="B677" s="1" t="s">
        <v>794</v>
      </c>
      <c r="C677" s="1" t="s">
        <v>799</v>
      </c>
      <c r="D677" s="1" t="s">
        <v>1154</v>
      </c>
    </row>
    <row r="678" spans="1:4">
      <c r="A678" s="1" t="s">
        <v>529</v>
      </c>
      <c r="B678" s="1" t="s">
        <v>795</v>
      </c>
      <c r="C678" s="1" t="s">
        <v>799</v>
      </c>
      <c r="D678" s="1" t="s">
        <v>802</v>
      </c>
    </row>
    <row r="679" spans="1:4">
      <c r="A679" s="1" t="s">
        <v>529</v>
      </c>
      <c r="B679" s="1" t="s">
        <v>796</v>
      </c>
      <c r="C679" s="1" t="s">
        <v>799</v>
      </c>
    </row>
    <row r="680" spans="1:4">
      <c r="A680" s="1" t="s">
        <v>529</v>
      </c>
      <c r="B680" s="1" t="s">
        <v>797</v>
      </c>
      <c r="C680" s="1" t="s">
        <v>799</v>
      </c>
      <c r="D680" s="1" t="s">
        <v>1155</v>
      </c>
    </row>
    <row r="681" spans="1:4">
      <c r="A681" s="1" t="s">
        <v>529</v>
      </c>
      <c r="B681" s="1" t="s">
        <v>798</v>
      </c>
      <c r="C681" s="1" t="s">
        <v>799</v>
      </c>
      <c r="D681" s="1" t="s">
        <v>1156</v>
      </c>
    </row>
    <row r="682" spans="1:4">
      <c r="A682" s="1" t="s">
        <v>530</v>
      </c>
      <c r="B682" s="1" t="s">
        <v>794</v>
      </c>
      <c r="C682" s="1" t="s">
        <v>799</v>
      </c>
      <c r="D682" s="1" t="s">
        <v>1157</v>
      </c>
    </row>
    <row r="683" spans="1:4">
      <c r="A683" s="1" t="s">
        <v>530</v>
      </c>
      <c r="B683" s="1" t="s">
        <v>795</v>
      </c>
      <c r="C683" s="1" t="s">
        <v>799</v>
      </c>
      <c r="D683" s="1" t="s">
        <v>802</v>
      </c>
    </row>
    <row r="684" spans="1:4">
      <c r="A684" s="1" t="s">
        <v>530</v>
      </c>
      <c r="B684" s="1" t="s">
        <v>796</v>
      </c>
      <c r="C684" s="1" t="s">
        <v>799</v>
      </c>
    </row>
    <row r="685" spans="1:4">
      <c r="A685" s="1" t="s">
        <v>530</v>
      </c>
      <c r="B685" s="1" t="s">
        <v>797</v>
      </c>
      <c r="C685" s="1" t="s">
        <v>799</v>
      </c>
      <c r="D685" s="1" t="s">
        <v>1158</v>
      </c>
    </row>
    <row r="686" spans="1:4">
      <c r="A686" s="1" t="s">
        <v>530</v>
      </c>
      <c r="B686" s="1" t="s">
        <v>798</v>
      </c>
      <c r="C686" s="1" t="s">
        <v>799</v>
      </c>
      <c r="D686" s="1" t="s">
        <v>1159</v>
      </c>
    </row>
    <row r="687" spans="1:4">
      <c r="A687" s="1" t="s">
        <v>531</v>
      </c>
      <c r="B687" s="1" t="s">
        <v>794</v>
      </c>
      <c r="C687" s="1" t="s">
        <v>799</v>
      </c>
      <c r="D687" s="1" t="s">
        <v>1160</v>
      </c>
    </row>
    <row r="688" spans="1:4">
      <c r="A688" s="1" t="s">
        <v>531</v>
      </c>
      <c r="B688" s="1" t="s">
        <v>795</v>
      </c>
      <c r="C688" s="1" t="s">
        <v>799</v>
      </c>
      <c r="D688" s="1" t="s">
        <v>802</v>
      </c>
    </row>
    <row r="689" spans="1:4">
      <c r="A689" s="1" t="s">
        <v>531</v>
      </c>
      <c r="B689" s="1" t="s">
        <v>796</v>
      </c>
      <c r="C689" s="1" t="s">
        <v>799</v>
      </c>
    </row>
    <row r="690" spans="1:4">
      <c r="A690" s="1" t="s">
        <v>531</v>
      </c>
      <c r="B690" s="1" t="s">
        <v>797</v>
      </c>
      <c r="C690" s="1" t="s">
        <v>799</v>
      </c>
      <c r="D690" s="1" t="s">
        <v>1161</v>
      </c>
    </row>
    <row r="691" spans="1:4">
      <c r="A691" s="1" t="s">
        <v>531</v>
      </c>
      <c r="B691" s="1" t="s">
        <v>798</v>
      </c>
      <c r="C691" s="1" t="s">
        <v>799</v>
      </c>
      <c r="D691" s="1" t="s">
        <v>1162</v>
      </c>
    </row>
    <row r="692" spans="1:4">
      <c r="A692" s="1" t="s">
        <v>532</v>
      </c>
      <c r="B692" s="1" t="s">
        <v>794</v>
      </c>
      <c r="C692" s="1" t="s">
        <v>799</v>
      </c>
      <c r="D692" s="1" t="s">
        <v>1163</v>
      </c>
    </row>
    <row r="693" spans="1:4">
      <c r="A693" s="1" t="s">
        <v>532</v>
      </c>
      <c r="B693" s="1" t="s">
        <v>795</v>
      </c>
      <c r="C693" s="1" t="s">
        <v>799</v>
      </c>
      <c r="D693" s="1" t="s">
        <v>802</v>
      </c>
    </row>
    <row r="694" spans="1:4">
      <c r="A694" s="1" t="s">
        <v>532</v>
      </c>
      <c r="B694" s="1" t="s">
        <v>796</v>
      </c>
      <c r="C694" s="1" t="s">
        <v>799</v>
      </c>
    </row>
    <row r="695" spans="1:4">
      <c r="A695" s="1" t="s">
        <v>532</v>
      </c>
      <c r="B695" s="1" t="s">
        <v>797</v>
      </c>
      <c r="C695" s="1" t="s">
        <v>800</v>
      </c>
      <c r="D695" s="1" t="s">
        <v>1164</v>
      </c>
    </row>
    <row r="696" spans="1:4">
      <c r="A696" s="1" t="s">
        <v>532</v>
      </c>
      <c r="B696" s="1" t="s">
        <v>798</v>
      </c>
      <c r="C696" s="1" t="s">
        <v>799</v>
      </c>
      <c r="D696" s="1" t="s">
        <v>1165</v>
      </c>
    </row>
    <row r="697" spans="1:4">
      <c r="A697" s="1" t="s">
        <v>533</v>
      </c>
      <c r="B697" s="1" t="s">
        <v>794</v>
      </c>
      <c r="C697" s="1" t="s">
        <v>799</v>
      </c>
      <c r="D697" s="1" t="s">
        <v>1166</v>
      </c>
    </row>
    <row r="698" spans="1:4">
      <c r="A698" s="1" t="s">
        <v>533</v>
      </c>
      <c r="B698" s="1" t="s">
        <v>795</v>
      </c>
      <c r="C698" s="1" t="s">
        <v>799</v>
      </c>
      <c r="D698" s="1" t="s">
        <v>802</v>
      </c>
    </row>
    <row r="699" spans="1:4">
      <c r="A699" s="1" t="s">
        <v>533</v>
      </c>
      <c r="B699" s="1" t="s">
        <v>796</v>
      </c>
      <c r="C699" s="1" t="s">
        <v>799</v>
      </c>
    </row>
    <row r="700" spans="1:4">
      <c r="A700" s="1" t="s">
        <v>533</v>
      </c>
      <c r="B700" s="1" t="s">
        <v>797</v>
      </c>
      <c r="C700" s="1" t="s">
        <v>799</v>
      </c>
      <c r="D700" s="1" t="s">
        <v>1167</v>
      </c>
    </row>
    <row r="701" spans="1:4">
      <c r="A701" s="1" t="s">
        <v>533</v>
      </c>
      <c r="B701" s="1" t="s">
        <v>798</v>
      </c>
      <c r="C701" s="1" t="s">
        <v>799</v>
      </c>
      <c r="D701" s="1" t="s">
        <v>1168</v>
      </c>
    </row>
    <row r="702" spans="1:4">
      <c r="A702" s="1" t="s">
        <v>534</v>
      </c>
      <c r="B702" s="1" t="s">
        <v>794</v>
      </c>
      <c r="C702" s="1" t="s">
        <v>799</v>
      </c>
      <c r="D702" s="1" t="s">
        <v>1169</v>
      </c>
    </row>
    <row r="703" spans="1:4">
      <c r="A703" s="1" t="s">
        <v>534</v>
      </c>
      <c r="B703" s="1" t="s">
        <v>795</v>
      </c>
      <c r="C703" s="1" t="s">
        <v>799</v>
      </c>
      <c r="D703" s="1" t="s">
        <v>802</v>
      </c>
    </row>
    <row r="704" spans="1:4">
      <c r="A704" s="1" t="s">
        <v>534</v>
      </c>
      <c r="B704" s="1" t="s">
        <v>796</v>
      </c>
      <c r="C704" s="1" t="s">
        <v>799</v>
      </c>
    </row>
    <row r="705" spans="1:4">
      <c r="A705" s="1" t="s">
        <v>534</v>
      </c>
      <c r="B705" s="1" t="s">
        <v>797</v>
      </c>
      <c r="C705" s="1" t="s">
        <v>799</v>
      </c>
      <c r="D705" s="1" t="s">
        <v>1170</v>
      </c>
    </row>
    <row r="706" spans="1:4">
      <c r="A706" s="1" t="s">
        <v>534</v>
      </c>
      <c r="B706" s="1" t="s">
        <v>798</v>
      </c>
      <c r="C706" s="1" t="s">
        <v>799</v>
      </c>
      <c r="D706" s="1" t="s">
        <v>1171</v>
      </c>
    </row>
    <row r="707" spans="1:4">
      <c r="A707" s="1" t="s">
        <v>535</v>
      </c>
      <c r="B707" s="1" t="s">
        <v>794</v>
      </c>
      <c r="C707" s="1" t="s">
        <v>799</v>
      </c>
      <c r="D707" s="1" t="s">
        <v>1172</v>
      </c>
    </row>
    <row r="708" spans="1:4">
      <c r="A708" s="1" t="s">
        <v>535</v>
      </c>
      <c r="B708" s="1" t="s">
        <v>795</v>
      </c>
      <c r="C708" s="1" t="s">
        <v>799</v>
      </c>
      <c r="D708" s="1" t="s">
        <v>802</v>
      </c>
    </row>
    <row r="709" spans="1:4">
      <c r="A709" s="1" t="s">
        <v>535</v>
      </c>
      <c r="B709" s="1" t="s">
        <v>796</v>
      </c>
      <c r="C709" s="1" t="s">
        <v>799</v>
      </c>
    </row>
    <row r="710" spans="1:4">
      <c r="A710" s="1" t="s">
        <v>535</v>
      </c>
      <c r="B710" s="1" t="s">
        <v>797</v>
      </c>
      <c r="C710" s="1" t="s">
        <v>799</v>
      </c>
      <c r="D710" s="1" t="s">
        <v>1173</v>
      </c>
    </row>
    <row r="711" spans="1:4">
      <c r="A711" s="1" t="s">
        <v>535</v>
      </c>
      <c r="B711" s="1" t="s">
        <v>798</v>
      </c>
      <c r="C711" s="1" t="s">
        <v>799</v>
      </c>
      <c r="D711" s="1" t="s">
        <v>1174</v>
      </c>
    </row>
    <row r="712" spans="1:4">
      <c r="A712" s="1" t="s">
        <v>536</v>
      </c>
      <c r="B712" s="1" t="s">
        <v>794</v>
      </c>
      <c r="C712" s="1" t="s">
        <v>799</v>
      </c>
      <c r="D712" s="1" t="s">
        <v>1175</v>
      </c>
    </row>
    <row r="713" spans="1:4">
      <c r="A713" s="1" t="s">
        <v>536</v>
      </c>
      <c r="B713" s="1" t="s">
        <v>795</v>
      </c>
      <c r="C713" s="1" t="s">
        <v>799</v>
      </c>
      <c r="D713" s="1" t="s">
        <v>802</v>
      </c>
    </row>
    <row r="714" spans="1:4">
      <c r="A714" s="1" t="s">
        <v>536</v>
      </c>
      <c r="B714" s="1" t="s">
        <v>796</v>
      </c>
      <c r="C714" s="1" t="s">
        <v>799</v>
      </c>
    </row>
    <row r="715" spans="1:4">
      <c r="A715" s="1" t="s">
        <v>536</v>
      </c>
      <c r="B715" s="1" t="s">
        <v>797</v>
      </c>
      <c r="C715" s="1" t="s">
        <v>799</v>
      </c>
      <c r="D715" s="1" t="s">
        <v>1176</v>
      </c>
    </row>
    <row r="716" spans="1:4">
      <c r="A716" s="1" t="s">
        <v>536</v>
      </c>
      <c r="B716" s="1" t="s">
        <v>798</v>
      </c>
      <c r="C716" s="1" t="s">
        <v>799</v>
      </c>
      <c r="D716" s="1" t="s">
        <v>1177</v>
      </c>
    </row>
    <row r="717" spans="1:4">
      <c r="A717" s="1" t="s">
        <v>537</v>
      </c>
      <c r="B717" s="1" t="s">
        <v>794</v>
      </c>
      <c r="C717" s="1" t="s">
        <v>799</v>
      </c>
      <c r="D717" s="1" t="s">
        <v>1178</v>
      </c>
    </row>
    <row r="718" spans="1:4">
      <c r="A718" s="1" t="s">
        <v>537</v>
      </c>
      <c r="B718" s="1" t="s">
        <v>795</v>
      </c>
      <c r="C718" s="1" t="s">
        <v>799</v>
      </c>
      <c r="D718" s="1" t="s">
        <v>802</v>
      </c>
    </row>
    <row r="719" spans="1:4">
      <c r="A719" s="1" t="s">
        <v>537</v>
      </c>
      <c r="B719" s="1" t="s">
        <v>796</v>
      </c>
      <c r="C719" s="1" t="s">
        <v>799</v>
      </c>
    </row>
    <row r="720" spans="1:4">
      <c r="A720" s="1" t="s">
        <v>537</v>
      </c>
      <c r="B720" s="1" t="s">
        <v>797</v>
      </c>
      <c r="C720" s="1" t="s">
        <v>799</v>
      </c>
      <c r="D720" s="1" t="s">
        <v>1179</v>
      </c>
    </row>
    <row r="721" spans="1:4">
      <c r="A721" s="1" t="s">
        <v>537</v>
      </c>
      <c r="B721" s="1" t="s">
        <v>798</v>
      </c>
      <c r="C721" s="1" t="s">
        <v>799</v>
      </c>
      <c r="D721" s="1" t="s">
        <v>1180</v>
      </c>
    </row>
    <row r="722" spans="1:4">
      <c r="A722" s="1" t="s">
        <v>538</v>
      </c>
      <c r="B722" s="1" t="s">
        <v>794</v>
      </c>
      <c r="C722" s="1" t="s">
        <v>799</v>
      </c>
      <c r="D722" s="1" t="s">
        <v>1181</v>
      </c>
    </row>
    <row r="723" spans="1:4">
      <c r="A723" s="1" t="s">
        <v>538</v>
      </c>
      <c r="B723" s="1" t="s">
        <v>795</v>
      </c>
      <c r="C723" s="1" t="s">
        <v>799</v>
      </c>
      <c r="D723" s="1" t="s">
        <v>802</v>
      </c>
    </row>
    <row r="724" spans="1:4">
      <c r="A724" s="1" t="s">
        <v>538</v>
      </c>
      <c r="B724" s="1" t="s">
        <v>796</v>
      </c>
      <c r="C724" s="1" t="s">
        <v>799</v>
      </c>
    </row>
    <row r="725" spans="1:4">
      <c r="A725" s="1" t="s">
        <v>538</v>
      </c>
      <c r="B725" s="1" t="s">
        <v>797</v>
      </c>
      <c r="C725" s="1" t="s">
        <v>799</v>
      </c>
      <c r="D725" s="1" t="s">
        <v>1182</v>
      </c>
    </row>
    <row r="726" spans="1:4">
      <c r="A726" s="1" t="s">
        <v>538</v>
      </c>
      <c r="B726" s="1" t="s">
        <v>798</v>
      </c>
      <c r="C726" s="1" t="s">
        <v>799</v>
      </c>
      <c r="D726" s="1" t="s">
        <v>1183</v>
      </c>
    </row>
    <row r="727" spans="1:4">
      <c r="A727" s="1" t="s">
        <v>296</v>
      </c>
      <c r="B727" s="1" t="s">
        <v>794</v>
      </c>
      <c r="C727" s="1" t="s">
        <v>799</v>
      </c>
      <c r="D727" s="1" t="s">
        <v>1184</v>
      </c>
    </row>
    <row r="728" spans="1:4">
      <c r="A728" s="1" t="s">
        <v>296</v>
      </c>
      <c r="B728" s="1" t="s">
        <v>795</v>
      </c>
      <c r="C728" s="1" t="s">
        <v>799</v>
      </c>
      <c r="D728" s="1" t="s">
        <v>802</v>
      </c>
    </row>
    <row r="729" spans="1:4">
      <c r="A729" s="1" t="s">
        <v>296</v>
      </c>
      <c r="B729" s="1" t="s">
        <v>796</v>
      </c>
      <c r="C729" s="1" t="s">
        <v>799</v>
      </c>
    </row>
    <row r="730" spans="1:4">
      <c r="A730" s="1" t="s">
        <v>296</v>
      </c>
      <c r="B730" s="1" t="s">
        <v>797</v>
      </c>
      <c r="C730" s="1" t="s">
        <v>799</v>
      </c>
      <c r="D730" s="1" t="s">
        <v>1185</v>
      </c>
    </row>
    <row r="731" spans="1:4">
      <c r="A731" s="1" t="s">
        <v>296</v>
      </c>
      <c r="B731" s="1" t="s">
        <v>798</v>
      </c>
      <c r="C731" s="1" t="s">
        <v>799</v>
      </c>
      <c r="D731" s="1" t="s">
        <v>1186</v>
      </c>
    </row>
    <row r="732" spans="1:4">
      <c r="A732" s="1" t="s">
        <v>297</v>
      </c>
      <c r="B732" s="1" t="s">
        <v>794</v>
      </c>
      <c r="C732" s="1" t="s">
        <v>799</v>
      </c>
      <c r="D732" s="1" t="s">
        <v>1187</v>
      </c>
    </row>
    <row r="733" spans="1:4">
      <c r="A733" s="1" t="s">
        <v>297</v>
      </c>
      <c r="B733" s="1" t="s">
        <v>795</v>
      </c>
      <c r="C733" s="1" t="s">
        <v>799</v>
      </c>
      <c r="D733" s="1" t="s">
        <v>802</v>
      </c>
    </row>
    <row r="734" spans="1:4">
      <c r="A734" s="1" t="s">
        <v>297</v>
      </c>
      <c r="B734" s="1" t="s">
        <v>796</v>
      </c>
      <c r="C734" s="1" t="s">
        <v>799</v>
      </c>
    </row>
    <row r="735" spans="1:4">
      <c r="A735" s="1" t="s">
        <v>297</v>
      </c>
      <c r="B735" s="1" t="s">
        <v>797</v>
      </c>
      <c r="C735" s="1" t="s">
        <v>799</v>
      </c>
      <c r="D735" s="1" t="s">
        <v>908</v>
      </c>
    </row>
    <row r="736" spans="1:4">
      <c r="A736" s="1" t="s">
        <v>297</v>
      </c>
      <c r="B736" s="1" t="s">
        <v>798</v>
      </c>
      <c r="C736" s="1" t="s">
        <v>799</v>
      </c>
      <c r="D736" s="1" t="s">
        <v>1188</v>
      </c>
    </row>
    <row r="737" spans="1:4">
      <c r="A737" s="1" t="s">
        <v>298</v>
      </c>
      <c r="B737" s="1" t="s">
        <v>794</v>
      </c>
      <c r="C737" s="1" t="s">
        <v>799</v>
      </c>
      <c r="D737" s="1" t="s">
        <v>1189</v>
      </c>
    </row>
    <row r="738" spans="1:4">
      <c r="A738" s="1" t="s">
        <v>298</v>
      </c>
      <c r="B738" s="1" t="s">
        <v>795</v>
      </c>
      <c r="C738" s="1" t="s">
        <v>799</v>
      </c>
      <c r="D738" s="1" t="s">
        <v>802</v>
      </c>
    </row>
    <row r="739" spans="1:4">
      <c r="A739" s="1" t="s">
        <v>298</v>
      </c>
      <c r="B739" s="1" t="s">
        <v>796</v>
      </c>
      <c r="C739" s="1" t="s">
        <v>799</v>
      </c>
    </row>
    <row r="740" spans="1:4">
      <c r="A740" s="1" t="s">
        <v>298</v>
      </c>
      <c r="B740" s="1" t="s">
        <v>797</v>
      </c>
      <c r="C740" s="1" t="s">
        <v>799</v>
      </c>
      <c r="D740" s="1" t="s">
        <v>1190</v>
      </c>
    </row>
    <row r="741" spans="1:4">
      <c r="A741" s="1" t="s">
        <v>298</v>
      </c>
      <c r="B741" s="1" t="s">
        <v>798</v>
      </c>
      <c r="C741" s="1" t="s">
        <v>799</v>
      </c>
      <c r="D741" s="1" t="s">
        <v>1191</v>
      </c>
    </row>
    <row r="742" spans="1:4">
      <c r="A742" s="1" t="s">
        <v>299</v>
      </c>
      <c r="B742" s="1" t="s">
        <v>794</v>
      </c>
      <c r="C742" s="1" t="s">
        <v>799</v>
      </c>
      <c r="D742" s="1" t="s">
        <v>1192</v>
      </c>
    </row>
    <row r="743" spans="1:4">
      <c r="A743" s="1" t="s">
        <v>299</v>
      </c>
      <c r="B743" s="1" t="s">
        <v>795</v>
      </c>
      <c r="C743" s="1" t="s">
        <v>799</v>
      </c>
      <c r="D743" s="1" t="s">
        <v>802</v>
      </c>
    </row>
    <row r="744" spans="1:4">
      <c r="A744" s="1" t="s">
        <v>299</v>
      </c>
      <c r="B744" s="1" t="s">
        <v>796</v>
      </c>
      <c r="C744" s="1" t="s">
        <v>799</v>
      </c>
    </row>
    <row r="745" spans="1:4">
      <c r="A745" s="1" t="s">
        <v>299</v>
      </c>
      <c r="B745" s="1" t="s">
        <v>797</v>
      </c>
      <c r="C745" s="1" t="s">
        <v>800</v>
      </c>
      <c r="D745" s="1" t="s">
        <v>1193</v>
      </c>
    </row>
    <row r="746" spans="1:4">
      <c r="A746" s="1" t="s">
        <v>299</v>
      </c>
      <c r="B746" s="1" t="s">
        <v>798</v>
      </c>
      <c r="C746" s="1" t="s">
        <v>799</v>
      </c>
      <c r="D746" s="1" t="s">
        <v>1194</v>
      </c>
    </row>
    <row r="747" spans="1:4">
      <c r="A747" s="1" t="s">
        <v>300</v>
      </c>
      <c r="B747" s="1" t="s">
        <v>794</v>
      </c>
      <c r="C747" s="1" t="s">
        <v>799</v>
      </c>
      <c r="D747" s="1" t="s">
        <v>1195</v>
      </c>
    </row>
    <row r="748" spans="1:4">
      <c r="A748" s="1" t="s">
        <v>300</v>
      </c>
      <c r="B748" s="1" t="s">
        <v>795</v>
      </c>
      <c r="C748" s="1" t="s">
        <v>799</v>
      </c>
      <c r="D748" s="1" t="s">
        <v>802</v>
      </c>
    </row>
    <row r="749" spans="1:4">
      <c r="A749" s="1" t="s">
        <v>300</v>
      </c>
      <c r="B749" s="1" t="s">
        <v>796</v>
      </c>
      <c r="C749" s="1" t="s">
        <v>799</v>
      </c>
    </row>
    <row r="750" spans="1:4">
      <c r="A750" s="1" t="s">
        <v>300</v>
      </c>
      <c r="B750" s="1" t="s">
        <v>797</v>
      </c>
      <c r="C750" s="1" t="s">
        <v>799</v>
      </c>
      <c r="D750" s="1" t="s">
        <v>1196</v>
      </c>
    </row>
    <row r="751" spans="1:4">
      <c r="A751" s="1" t="s">
        <v>300</v>
      </c>
      <c r="B751" s="1" t="s">
        <v>798</v>
      </c>
      <c r="C751" s="1" t="s">
        <v>799</v>
      </c>
      <c r="D751" s="1" t="s">
        <v>1197</v>
      </c>
    </row>
    <row r="752" spans="1:4">
      <c r="A752" s="1" t="s">
        <v>301</v>
      </c>
      <c r="B752" s="1" t="s">
        <v>794</v>
      </c>
      <c r="C752" s="1" t="s">
        <v>799</v>
      </c>
      <c r="D752" s="1" t="s">
        <v>1198</v>
      </c>
    </row>
    <row r="753" spans="1:4">
      <c r="A753" s="1" t="s">
        <v>301</v>
      </c>
      <c r="B753" s="1" t="s">
        <v>795</v>
      </c>
      <c r="C753" s="1" t="s">
        <v>799</v>
      </c>
      <c r="D753" s="1" t="s">
        <v>802</v>
      </c>
    </row>
    <row r="754" spans="1:4">
      <c r="A754" s="1" t="s">
        <v>301</v>
      </c>
      <c r="B754" s="1" t="s">
        <v>796</v>
      </c>
      <c r="C754" s="1" t="s">
        <v>799</v>
      </c>
    </row>
    <row r="755" spans="1:4">
      <c r="A755" s="1" t="s">
        <v>301</v>
      </c>
      <c r="B755" s="1" t="s">
        <v>797</v>
      </c>
      <c r="C755" s="1" t="s">
        <v>799</v>
      </c>
      <c r="D755" s="1" t="s">
        <v>1199</v>
      </c>
    </row>
    <row r="756" spans="1:4">
      <c r="A756" s="1" t="s">
        <v>301</v>
      </c>
      <c r="B756" s="1" t="s">
        <v>798</v>
      </c>
      <c r="C756" s="1" t="s">
        <v>799</v>
      </c>
      <c r="D756" s="1" t="s">
        <v>1200</v>
      </c>
    </row>
    <row r="757" spans="1:4">
      <c r="A757" s="1" t="s">
        <v>302</v>
      </c>
      <c r="B757" s="1" t="s">
        <v>794</v>
      </c>
      <c r="C757" s="1" t="s">
        <v>799</v>
      </c>
      <c r="D757" s="1" t="s">
        <v>1201</v>
      </c>
    </row>
    <row r="758" spans="1:4">
      <c r="A758" s="1" t="s">
        <v>302</v>
      </c>
      <c r="B758" s="1" t="s">
        <v>795</v>
      </c>
      <c r="C758" s="1" t="s">
        <v>799</v>
      </c>
      <c r="D758" s="1" t="s">
        <v>802</v>
      </c>
    </row>
    <row r="759" spans="1:4">
      <c r="A759" s="1" t="s">
        <v>302</v>
      </c>
      <c r="B759" s="1" t="s">
        <v>796</v>
      </c>
      <c r="C759" s="1" t="s">
        <v>799</v>
      </c>
    </row>
    <row r="760" spans="1:4">
      <c r="A760" s="1" t="s">
        <v>302</v>
      </c>
      <c r="B760" s="1" t="s">
        <v>797</v>
      </c>
      <c r="C760" s="1" t="s">
        <v>799</v>
      </c>
      <c r="D760" s="1" t="s">
        <v>1202</v>
      </c>
    </row>
    <row r="761" spans="1:4">
      <c r="A761" s="1" t="s">
        <v>302</v>
      </c>
      <c r="B761" s="1" t="s">
        <v>798</v>
      </c>
      <c r="C761" s="1" t="s">
        <v>799</v>
      </c>
      <c r="D761" s="1" t="s">
        <v>1203</v>
      </c>
    </row>
    <row r="762" spans="1:4">
      <c r="A762" s="1" t="s">
        <v>303</v>
      </c>
      <c r="B762" s="1" t="s">
        <v>794</v>
      </c>
      <c r="C762" s="1" t="s">
        <v>799</v>
      </c>
      <c r="D762" s="1" t="s">
        <v>1204</v>
      </c>
    </row>
    <row r="763" spans="1:4">
      <c r="A763" s="1" t="s">
        <v>303</v>
      </c>
      <c r="B763" s="1" t="s">
        <v>795</v>
      </c>
      <c r="C763" s="1" t="s">
        <v>799</v>
      </c>
      <c r="D763" s="1" t="s">
        <v>802</v>
      </c>
    </row>
    <row r="764" spans="1:4">
      <c r="A764" s="1" t="s">
        <v>303</v>
      </c>
      <c r="B764" s="1" t="s">
        <v>796</v>
      </c>
      <c r="C764" s="1" t="s">
        <v>799</v>
      </c>
    </row>
    <row r="765" spans="1:4">
      <c r="A765" s="1" t="s">
        <v>303</v>
      </c>
      <c r="B765" s="1" t="s">
        <v>797</v>
      </c>
      <c r="C765" s="1" t="s">
        <v>799</v>
      </c>
      <c r="D765" s="1" t="s">
        <v>926</v>
      </c>
    </row>
    <row r="766" spans="1:4">
      <c r="A766" s="1" t="s">
        <v>303</v>
      </c>
      <c r="B766" s="1" t="s">
        <v>798</v>
      </c>
      <c r="C766" s="1" t="s">
        <v>799</v>
      </c>
      <c r="D766" s="1" t="s">
        <v>1205</v>
      </c>
    </row>
    <row r="767" spans="1:4">
      <c r="A767" s="1" t="s">
        <v>304</v>
      </c>
      <c r="B767" s="1" t="s">
        <v>794</v>
      </c>
      <c r="C767" s="1" t="s">
        <v>799</v>
      </c>
      <c r="D767" s="1" t="s">
        <v>1206</v>
      </c>
    </row>
    <row r="768" spans="1:4">
      <c r="A768" s="1" t="s">
        <v>304</v>
      </c>
      <c r="B768" s="1" t="s">
        <v>795</v>
      </c>
      <c r="C768" s="1" t="s">
        <v>799</v>
      </c>
      <c r="D768" s="1" t="s">
        <v>802</v>
      </c>
    </row>
    <row r="769" spans="1:4">
      <c r="A769" s="1" t="s">
        <v>304</v>
      </c>
      <c r="B769" s="1" t="s">
        <v>796</v>
      </c>
      <c r="C769" s="1" t="s">
        <v>799</v>
      </c>
    </row>
    <row r="770" spans="1:4">
      <c r="A770" s="1" t="s">
        <v>304</v>
      </c>
      <c r="B770" s="1" t="s">
        <v>797</v>
      </c>
      <c r="C770" s="1" t="s">
        <v>799</v>
      </c>
      <c r="D770" s="1" t="s">
        <v>1207</v>
      </c>
    </row>
    <row r="771" spans="1:4">
      <c r="A771" s="1" t="s">
        <v>304</v>
      </c>
      <c r="B771" s="1" t="s">
        <v>798</v>
      </c>
      <c r="C771" s="1" t="s">
        <v>799</v>
      </c>
      <c r="D771" s="1" t="s">
        <v>1208</v>
      </c>
    </row>
    <row r="772" spans="1:4">
      <c r="A772" s="1" t="s">
        <v>305</v>
      </c>
      <c r="B772" s="1" t="s">
        <v>794</v>
      </c>
      <c r="C772" s="1" t="s">
        <v>799</v>
      </c>
      <c r="D772" s="1" t="s">
        <v>1206</v>
      </c>
    </row>
    <row r="773" spans="1:4">
      <c r="A773" s="1" t="s">
        <v>305</v>
      </c>
      <c r="B773" s="1" t="s">
        <v>795</v>
      </c>
      <c r="C773" s="1" t="s">
        <v>799</v>
      </c>
      <c r="D773" s="1" t="s">
        <v>802</v>
      </c>
    </row>
    <row r="774" spans="1:4">
      <c r="A774" s="1" t="s">
        <v>305</v>
      </c>
      <c r="B774" s="1" t="s">
        <v>796</v>
      </c>
      <c r="C774" s="1" t="s">
        <v>799</v>
      </c>
    </row>
    <row r="775" spans="1:4">
      <c r="A775" s="1" t="s">
        <v>305</v>
      </c>
      <c r="B775" s="1" t="s">
        <v>797</v>
      </c>
      <c r="C775" s="1" t="s">
        <v>799</v>
      </c>
      <c r="D775" s="1" t="s">
        <v>1209</v>
      </c>
    </row>
    <row r="776" spans="1:4">
      <c r="A776" s="1" t="s">
        <v>305</v>
      </c>
      <c r="B776" s="1" t="s">
        <v>798</v>
      </c>
      <c r="C776" s="1" t="s">
        <v>799</v>
      </c>
      <c r="D776" s="1" t="s">
        <v>1210</v>
      </c>
    </row>
    <row r="777" spans="1:4">
      <c r="A777" s="1" t="s">
        <v>306</v>
      </c>
      <c r="B777" s="1" t="s">
        <v>794</v>
      </c>
      <c r="C777" s="1" t="s">
        <v>799</v>
      </c>
      <c r="D777" s="1" t="s">
        <v>1211</v>
      </c>
    </row>
    <row r="778" spans="1:4">
      <c r="A778" s="1" t="s">
        <v>306</v>
      </c>
      <c r="B778" s="1" t="s">
        <v>795</v>
      </c>
      <c r="C778" s="1" t="s">
        <v>799</v>
      </c>
      <c r="D778" s="1" t="s">
        <v>802</v>
      </c>
    </row>
    <row r="779" spans="1:4">
      <c r="A779" s="1" t="s">
        <v>306</v>
      </c>
      <c r="B779" s="1" t="s">
        <v>796</v>
      </c>
      <c r="C779" s="1" t="s">
        <v>799</v>
      </c>
    </row>
    <row r="780" spans="1:4">
      <c r="A780" s="1" t="s">
        <v>306</v>
      </c>
      <c r="B780" s="1" t="s">
        <v>797</v>
      </c>
      <c r="C780" s="1" t="s">
        <v>799</v>
      </c>
      <c r="D780" s="1" t="s">
        <v>1212</v>
      </c>
    </row>
    <row r="781" spans="1:4">
      <c r="A781" s="1" t="s">
        <v>306</v>
      </c>
      <c r="B781" s="1" t="s">
        <v>798</v>
      </c>
      <c r="C781" s="1" t="s">
        <v>799</v>
      </c>
      <c r="D781" s="1" t="s">
        <v>1213</v>
      </c>
    </row>
    <row r="782" spans="1:4">
      <c r="A782" s="1" t="s">
        <v>307</v>
      </c>
      <c r="B782" s="1" t="s">
        <v>794</v>
      </c>
      <c r="C782" s="1" t="s">
        <v>799</v>
      </c>
      <c r="D782" s="1" t="s">
        <v>1214</v>
      </c>
    </row>
    <row r="783" spans="1:4">
      <c r="A783" s="1" t="s">
        <v>307</v>
      </c>
      <c r="B783" s="1" t="s">
        <v>795</v>
      </c>
      <c r="C783" s="1" t="s">
        <v>799</v>
      </c>
      <c r="D783" s="1" t="s">
        <v>802</v>
      </c>
    </row>
    <row r="784" spans="1:4">
      <c r="A784" s="1" t="s">
        <v>307</v>
      </c>
      <c r="B784" s="1" t="s">
        <v>796</v>
      </c>
      <c r="C784" s="1" t="s">
        <v>799</v>
      </c>
    </row>
    <row r="785" spans="1:4">
      <c r="A785" s="1" t="s">
        <v>307</v>
      </c>
      <c r="B785" s="1" t="s">
        <v>797</v>
      </c>
      <c r="C785" s="1" t="s">
        <v>799</v>
      </c>
      <c r="D785" s="1" t="s">
        <v>1215</v>
      </c>
    </row>
    <row r="786" spans="1:4">
      <c r="A786" s="1" t="s">
        <v>307</v>
      </c>
      <c r="B786" s="1" t="s">
        <v>798</v>
      </c>
      <c r="C786" s="1" t="s">
        <v>799</v>
      </c>
      <c r="D786" s="1" t="s">
        <v>1216</v>
      </c>
    </row>
    <row r="787" spans="1:4">
      <c r="A787" s="1" t="s">
        <v>308</v>
      </c>
      <c r="B787" s="1" t="s">
        <v>794</v>
      </c>
      <c r="C787" s="1" t="s">
        <v>799</v>
      </c>
      <c r="D787" s="1" t="s">
        <v>1217</v>
      </c>
    </row>
    <row r="788" spans="1:4">
      <c r="A788" s="1" t="s">
        <v>308</v>
      </c>
      <c r="B788" s="1" t="s">
        <v>795</v>
      </c>
      <c r="C788" s="1" t="s">
        <v>799</v>
      </c>
      <c r="D788" s="1" t="s">
        <v>802</v>
      </c>
    </row>
    <row r="789" spans="1:4">
      <c r="A789" s="1" t="s">
        <v>308</v>
      </c>
      <c r="B789" s="1" t="s">
        <v>796</v>
      </c>
      <c r="C789" s="1" t="s">
        <v>799</v>
      </c>
    </row>
    <row r="790" spans="1:4">
      <c r="A790" s="1" t="s">
        <v>308</v>
      </c>
      <c r="B790" s="1" t="s">
        <v>797</v>
      </c>
      <c r="C790" s="1" t="s">
        <v>799</v>
      </c>
      <c r="D790" s="1" t="s">
        <v>1218</v>
      </c>
    </row>
    <row r="791" spans="1:4">
      <c r="A791" s="1" t="s">
        <v>308</v>
      </c>
      <c r="B791" s="1" t="s">
        <v>798</v>
      </c>
      <c r="C791" s="1" t="s">
        <v>799</v>
      </c>
      <c r="D791" s="1" t="s">
        <v>1219</v>
      </c>
    </row>
    <row r="792" spans="1:4">
      <c r="A792" s="1" t="s">
        <v>309</v>
      </c>
      <c r="B792" s="1" t="s">
        <v>794</v>
      </c>
      <c r="C792" s="1" t="s">
        <v>799</v>
      </c>
      <c r="D792" s="1" t="s">
        <v>1220</v>
      </c>
    </row>
    <row r="793" spans="1:4">
      <c r="A793" s="1" t="s">
        <v>309</v>
      </c>
      <c r="B793" s="1" t="s">
        <v>795</v>
      </c>
      <c r="C793" s="1" t="s">
        <v>799</v>
      </c>
      <c r="D793" s="1" t="s">
        <v>802</v>
      </c>
    </row>
    <row r="794" spans="1:4">
      <c r="A794" s="1" t="s">
        <v>309</v>
      </c>
      <c r="B794" s="1" t="s">
        <v>796</v>
      </c>
      <c r="C794" s="1" t="s">
        <v>799</v>
      </c>
    </row>
    <row r="795" spans="1:4">
      <c r="A795" s="1" t="s">
        <v>309</v>
      </c>
      <c r="B795" s="1" t="s">
        <v>797</v>
      </c>
      <c r="C795" s="1" t="s">
        <v>799</v>
      </c>
      <c r="D795" s="1" t="s">
        <v>944</v>
      </c>
    </row>
    <row r="796" spans="1:4">
      <c r="A796" s="1" t="s">
        <v>309</v>
      </c>
      <c r="B796" s="1" t="s">
        <v>798</v>
      </c>
      <c r="C796" s="1" t="s">
        <v>799</v>
      </c>
      <c r="D796" s="1" t="s">
        <v>1221</v>
      </c>
    </row>
    <row r="797" spans="1:4">
      <c r="A797" s="1" t="s">
        <v>310</v>
      </c>
      <c r="B797" s="1" t="s">
        <v>794</v>
      </c>
      <c r="C797" s="1" t="s">
        <v>799</v>
      </c>
      <c r="D797" s="1" t="s">
        <v>1222</v>
      </c>
    </row>
    <row r="798" spans="1:4">
      <c r="A798" s="1" t="s">
        <v>310</v>
      </c>
      <c r="B798" s="1" t="s">
        <v>795</v>
      </c>
      <c r="C798" s="1" t="s">
        <v>799</v>
      </c>
      <c r="D798" s="1" t="s">
        <v>802</v>
      </c>
    </row>
    <row r="799" spans="1:4">
      <c r="A799" s="1" t="s">
        <v>310</v>
      </c>
      <c r="B799" s="1" t="s">
        <v>796</v>
      </c>
      <c r="C799" s="1" t="s">
        <v>799</v>
      </c>
    </row>
    <row r="800" spans="1:4">
      <c r="A800" s="1" t="s">
        <v>310</v>
      </c>
      <c r="B800" s="1" t="s">
        <v>797</v>
      </c>
      <c r="C800" s="1" t="s">
        <v>799</v>
      </c>
      <c r="D800" s="1" t="s">
        <v>1223</v>
      </c>
    </row>
    <row r="801" spans="1:4">
      <c r="A801" s="1" t="s">
        <v>310</v>
      </c>
      <c r="B801" s="1" t="s">
        <v>798</v>
      </c>
      <c r="C801" s="1" t="s">
        <v>799</v>
      </c>
      <c r="D801" s="1" t="s">
        <v>1224</v>
      </c>
    </row>
    <row r="802" spans="1:4">
      <c r="A802" s="1" t="s">
        <v>311</v>
      </c>
      <c r="B802" s="1" t="s">
        <v>794</v>
      </c>
      <c r="C802" s="1" t="s">
        <v>799</v>
      </c>
      <c r="D802" s="1" t="s">
        <v>1225</v>
      </c>
    </row>
    <row r="803" spans="1:4">
      <c r="A803" s="1" t="s">
        <v>311</v>
      </c>
      <c r="B803" s="1" t="s">
        <v>795</v>
      </c>
      <c r="C803" s="1" t="s">
        <v>799</v>
      </c>
      <c r="D803" s="1" t="s">
        <v>802</v>
      </c>
    </row>
    <row r="804" spans="1:4">
      <c r="A804" s="1" t="s">
        <v>311</v>
      </c>
      <c r="B804" s="1" t="s">
        <v>796</v>
      </c>
      <c r="C804" s="1" t="s">
        <v>799</v>
      </c>
    </row>
    <row r="805" spans="1:4">
      <c r="A805" s="1" t="s">
        <v>311</v>
      </c>
      <c r="B805" s="1" t="s">
        <v>797</v>
      </c>
      <c r="C805" s="1" t="s">
        <v>799</v>
      </c>
      <c r="D805" s="1" t="s">
        <v>1226</v>
      </c>
    </row>
    <row r="806" spans="1:4">
      <c r="A806" s="1" t="s">
        <v>311</v>
      </c>
      <c r="B806" s="1" t="s">
        <v>798</v>
      </c>
      <c r="C806" s="1" t="s">
        <v>799</v>
      </c>
      <c r="D806" s="1" t="s">
        <v>1227</v>
      </c>
    </row>
    <row r="807" spans="1:4">
      <c r="A807" s="1" t="s">
        <v>312</v>
      </c>
      <c r="B807" s="1" t="s">
        <v>794</v>
      </c>
      <c r="C807" s="1" t="s">
        <v>799</v>
      </c>
      <c r="D807" s="1" t="s">
        <v>1228</v>
      </c>
    </row>
    <row r="808" spans="1:4">
      <c r="A808" s="1" t="s">
        <v>312</v>
      </c>
      <c r="B808" s="1" t="s">
        <v>795</v>
      </c>
      <c r="C808" s="1" t="s">
        <v>799</v>
      </c>
      <c r="D808" s="1" t="s">
        <v>802</v>
      </c>
    </row>
    <row r="809" spans="1:4">
      <c r="A809" s="1" t="s">
        <v>312</v>
      </c>
      <c r="B809" s="1" t="s">
        <v>796</v>
      </c>
      <c r="C809" s="1" t="s">
        <v>799</v>
      </c>
    </row>
    <row r="810" spans="1:4">
      <c r="A810" s="1" t="s">
        <v>312</v>
      </c>
      <c r="B810" s="1" t="s">
        <v>797</v>
      </c>
      <c r="C810" s="1" t="s">
        <v>799</v>
      </c>
      <c r="D810" s="1" t="s">
        <v>1229</v>
      </c>
    </row>
    <row r="811" spans="1:4">
      <c r="A811" s="1" t="s">
        <v>312</v>
      </c>
      <c r="B811" s="1" t="s">
        <v>798</v>
      </c>
      <c r="C811" s="1" t="s">
        <v>799</v>
      </c>
      <c r="D811" s="1" t="s">
        <v>1230</v>
      </c>
    </row>
    <row r="812" spans="1:4">
      <c r="A812" s="1" t="s">
        <v>313</v>
      </c>
      <c r="B812" s="1" t="s">
        <v>794</v>
      </c>
      <c r="C812" s="1" t="s">
        <v>799</v>
      </c>
      <c r="D812" s="1" t="s">
        <v>1231</v>
      </c>
    </row>
    <row r="813" spans="1:4">
      <c r="A813" s="1" t="s">
        <v>313</v>
      </c>
      <c r="B813" s="1" t="s">
        <v>795</v>
      </c>
      <c r="C813" s="1" t="s">
        <v>799</v>
      </c>
      <c r="D813" s="1" t="s">
        <v>802</v>
      </c>
    </row>
    <row r="814" spans="1:4">
      <c r="A814" s="1" t="s">
        <v>313</v>
      </c>
      <c r="B814" s="1" t="s">
        <v>796</v>
      </c>
      <c r="C814" s="1" t="s">
        <v>799</v>
      </c>
    </row>
    <row r="815" spans="1:4">
      <c r="A815" s="1" t="s">
        <v>313</v>
      </c>
      <c r="B815" s="1" t="s">
        <v>797</v>
      </c>
      <c r="C815" s="1" t="s">
        <v>799</v>
      </c>
      <c r="D815" s="1" t="s">
        <v>1232</v>
      </c>
    </row>
    <row r="816" spans="1:4">
      <c r="A816" s="1" t="s">
        <v>313</v>
      </c>
      <c r="B816" s="1" t="s">
        <v>798</v>
      </c>
      <c r="C816" s="1" t="s">
        <v>799</v>
      </c>
      <c r="D816" s="1" t="s">
        <v>1233</v>
      </c>
    </row>
    <row r="817" spans="1:4">
      <c r="A817" s="1" t="s">
        <v>314</v>
      </c>
      <c r="B817" s="1" t="s">
        <v>794</v>
      </c>
      <c r="C817" s="1" t="s">
        <v>799</v>
      </c>
      <c r="D817" s="1" t="s">
        <v>1234</v>
      </c>
    </row>
    <row r="818" spans="1:4">
      <c r="A818" s="1" t="s">
        <v>314</v>
      </c>
      <c r="B818" s="1" t="s">
        <v>795</v>
      </c>
      <c r="C818" s="1" t="s">
        <v>799</v>
      </c>
      <c r="D818" s="1" t="s">
        <v>802</v>
      </c>
    </row>
    <row r="819" spans="1:4">
      <c r="A819" s="1" t="s">
        <v>314</v>
      </c>
      <c r="B819" s="1" t="s">
        <v>796</v>
      </c>
      <c r="C819" s="1" t="s">
        <v>799</v>
      </c>
    </row>
    <row r="820" spans="1:4">
      <c r="A820" s="1" t="s">
        <v>314</v>
      </c>
      <c r="B820" s="1" t="s">
        <v>797</v>
      </c>
      <c r="C820" s="1" t="s">
        <v>799</v>
      </c>
      <c r="D820" s="1" t="s">
        <v>1235</v>
      </c>
    </row>
    <row r="821" spans="1:4">
      <c r="A821" s="1" t="s">
        <v>314</v>
      </c>
      <c r="B821" s="1" t="s">
        <v>798</v>
      </c>
      <c r="C821" s="1" t="s">
        <v>799</v>
      </c>
      <c r="D821" s="1" t="s">
        <v>1236</v>
      </c>
    </row>
    <row r="822" spans="1:4">
      <c r="A822" s="1" t="s">
        <v>315</v>
      </c>
      <c r="B822" s="1" t="s">
        <v>794</v>
      </c>
      <c r="C822" s="1" t="s">
        <v>799</v>
      </c>
      <c r="D822" s="1" t="s">
        <v>1237</v>
      </c>
    </row>
    <row r="823" spans="1:4">
      <c r="A823" s="1" t="s">
        <v>315</v>
      </c>
      <c r="B823" s="1" t="s">
        <v>795</v>
      </c>
      <c r="C823" s="1" t="s">
        <v>799</v>
      </c>
      <c r="D823" s="1" t="s">
        <v>802</v>
      </c>
    </row>
    <row r="824" spans="1:4">
      <c r="A824" s="1" t="s">
        <v>315</v>
      </c>
      <c r="B824" s="1" t="s">
        <v>796</v>
      </c>
      <c r="C824" s="1" t="s">
        <v>799</v>
      </c>
    </row>
    <row r="825" spans="1:4">
      <c r="A825" s="1" t="s">
        <v>315</v>
      </c>
      <c r="B825" s="1" t="s">
        <v>797</v>
      </c>
      <c r="C825" s="1" t="s">
        <v>799</v>
      </c>
      <c r="D825" s="1" t="s">
        <v>1238</v>
      </c>
    </row>
    <row r="826" spans="1:4">
      <c r="A826" s="1" t="s">
        <v>315</v>
      </c>
      <c r="B826" s="1" t="s">
        <v>798</v>
      </c>
      <c r="C826" s="1" t="s">
        <v>799</v>
      </c>
      <c r="D826" s="1" t="s">
        <v>1239</v>
      </c>
    </row>
    <row r="827" spans="1:4">
      <c r="A827" s="1" t="s">
        <v>316</v>
      </c>
      <c r="B827" s="1" t="s">
        <v>794</v>
      </c>
      <c r="C827" s="1" t="s">
        <v>799</v>
      </c>
      <c r="D827" s="1" t="s">
        <v>1240</v>
      </c>
    </row>
    <row r="828" spans="1:4">
      <c r="A828" s="1" t="s">
        <v>316</v>
      </c>
      <c r="B828" s="1" t="s">
        <v>795</v>
      </c>
      <c r="C828" s="1" t="s">
        <v>799</v>
      </c>
      <c r="D828" s="1" t="s">
        <v>802</v>
      </c>
    </row>
    <row r="829" spans="1:4">
      <c r="A829" s="1" t="s">
        <v>316</v>
      </c>
      <c r="B829" s="1" t="s">
        <v>796</v>
      </c>
      <c r="C829" s="1" t="s">
        <v>799</v>
      </c>
    </row>
    <row r="830" spans="1:4">
      <c r="A830" s="1" t="s">
        <v>316</v>
      </c>
      <c r="B830" s="1" t="s">
        <v>797</v>
      </c>
      <c r="C830" s="1" t="s">
        <v>799</v>
      </c>
      <c r="D830" s="1" t="s">
        <v>965</v>
      </c>
    </row>
    <row r="831" spans="1:4">
      <c r="A831" s="1" t="s">
        <v>316</v>
      </c>
      <c r="B831" s="1" t="s">
        <v>798</v>
      </c>
      <c r="C831" s="1" t="s">
        <v>799</v>
      </c>
      <c r="D831" s="1" t="s">
        <v>1241</v>
      </c>
    </row>
    <row r="832" spans="1:4">
      <c r="A832" s="1" t="s">
        <v>317</v>
      </c>
      <c r="B832" s="1" t="s">
        <v>794</v>
      </c>
      <c r="C832" s="1" t="s">
        <v>799</v>
      </c>
      <c r="D832" s="1" t="s">
        <v>1242</v>
      </c>
    </row>
    <row r="833" spans="1:4">
      <c r="A833" s="1" t="s">
        <v>317</v>
      </c>
      <c r="B833" s="1" t="s">
        <v>795</v>
      </c>
      <c r="C833" s="1" t="s">
        <v>799</v>
      </c>
      <c r="D833" s="1" t="s">
        <v>802</v>
      </c>
    </row>
    <row r="834" spans="1:4">
      <c r="A834" s="1" t="s">
        <v>317</v>
      </c>
      <c r="B834" s="1" t="s">
        <v>796</v>
      </c>
      <c r="C834" s="1" t="s">
        <v>799</v>
      </c>
    </row>
    <row r="835" spans="1:4">
      <c r="A835" s="1" t="s">
        <v>317</v>
      </c>
      <c r="B835" s="1" t="s">
        <v>797</v>
      </c>
      <c r="C835" s="1" t="s">
        <v>799</v>
      </c>
      <c r="D835" s="1" t="s">
        <v>1243</v>
      </c>
    </row>
    <row r="836" spans="1:4">
      <c r="A836" s="1" t="s">
        <v>317</v>
      </c>
      <c r="B836" s="1" t="s">
        <v>798</v>
      </c>
      <c r="C836" s="1" t="s">
        <v>799</v>
      </c>
      <c r="D836" s="1" t="s">
        <v>1244</v>
      </c>
    </row>
    <row r="837" spans="1:4">
      <c r="A837" s="1" t="s">
        <v>318</v>
      </c>
      <c r="B837" s="1" t="s">
        <v>794</v>
      </c>
      <c r="C837" s="1" t="s">
        <v>799</v>
      </c>
      <c r="D837" s="1" t="s">
        <v>1245</v>
      </c>
    </row>
    <row r="838" spans="1:4">
      <c r="A838" s="1" t="s">
        <v>318</v>
      </c>
      <c r="B838" s="1" t="s">
        <v>795</v>
      </c>
      <c r="C838" s="1" t="s">
        <v>799</v>
      </c>
      <c r="D838" s="1" t="s">
        <v>802</v>
      </c>
    </row>
    <row r="839" spans="1:4">
      <c r="A839" s="1" t="s">
        <v>318</v>
      </c>
      <c r="B839" s="1" t="s">
        <v>796</v>
      </c>
      <c r="C839" s="1" t="s">
        <v>799</v>
      </c>
    </row>
    <row r="840" spans="1:4">
      <c r="A840" s="1" t="s">
        <v>318</v>
      </c>
      <c r="B840" s="1" t="s">
        <v>797</v>
      </c>
      <c r="C840" s="1" t="s">
        <v>799</v>
      </c>
      <c r="D840" s="1" t="s">
        <v>1246</v>
      </c>
    </row>
    <row r="841" spans="1:4">
      <c r="A841" s="1" t="s">
        <v>318</v>
      </c>
      <c r="B841" s="1" t="s">
        <v>798</v>
      </c>
      <c r="C841" s="1" t="s">
        <v>799</v>
      </c>
      <c r="D841" s="1" t="s">
        <v>1247</v>
      </c>
    </row>
    <row r="842" spans="1:4">
      <c r="A842" s="1" t="s">
        <v>319</v>
      </c>
      <c r="B842" s="1" t="s">
        <v>794</v>
      </c>
      <c r="C842" s="1" t="s">
        <v>799</v>
      </c>
      <c r="D842" s="1" t="s">
        <v>1248</v>
      </c>
    </row>
    <row r="843" spans="1:4">
      <c r="A843" s="1" t="s">
        <v>319</v>
      </c>
      <c r="B843" s="1" t="s">
        <v>795</v>
      </c>
      <c r="C843" s="1" t="s">
        <v>799</v>
      </c>
      <c r="D843" s="1" t="s">
        <v>802</v>
      </c>
    </row>
    <row r="844" spans="1:4">
      <c r="A844" s="1" t="s">
        <v>319</v>
      </c>
      <c r="B844" s="1" t="s">
        <v>796</v>
      </c>
      <c r="C844" s="1" t="s">
        <v>799</v>
      </c>
    </row>
    <row r="845" spans="1:4">
      <c r="A845" s="1" t="s">
        <v>319</v>
      </c>
      <c r="B845" s="1" t="s">
        <v>797</v>
      </c>
      <c r="C845" s="1" t="s">
        <v>799</v>
      </c>
      <c r="D845" s="1" t="s">
        <v>1249</v>
      </c>
    </row>
    <row r="846" spans="1:4">
      <c r="A846" s="1" t="s">
        <v>319</v>
      </c>
      <c r="B846" s="1" t="s">
        <v>798</v>
      </c>
      <c r="C846" s="1" t="s">
        <v>799</v>
      </c>
      <c r="D846" s="1" t="s">
        <v>1250</v>
      </c>
    </row>
    <row r="847" spans="1:4">
      <c r="A847" s="1" t="s">
        <v>320</v>
      </c>
      <c r="B847" s="1" t="s">
        <v>794</v>
      </c>
      <c r="C847" s="1" t="s">
        <v>799</v>
      </c>
      <c r="D847" s="1" t="s">
        <v>1251</v>
      </c>
    </row>
    <row r="848" spans="1:4">
      <c r="A848" s="1" t="s">
        <v>320</v>
      </c>
      <c r="B848" s="1" t="s">
        <v>795</v>
      </c>
      <c r="C848" s="1" t="s">
        <v>799</v>
      </c>
      <c r="D848" s="1" t="s">
        <v>802</v>
      </c>
    </row>
    <row r="849" spans="1:4">
      <c r="A849" s="1" t="s">
        <v>320</v>
      </c>
      <c r="B849" s="1" t="s">
        <v>796</v>
      </c>
      <c r="C849" s="1" t="s">
        <v>799</v>
      </c>
    </row>
    <row r="850" spans="1:4">
      <c r="A850" s="1" t="s">
        <v>320</v>
      </c>
      <c r="B850" s="1" t="s">
        <v>797</v>
      </c>
      <c r="C850" s="1" t="s">
        <v>799</v>
      </c>
      <c r="D850" s="1" t="s">
        <v>1252</v>
      </c>
    </row>
    <row r="851" spans="1:4">
      <c r="A851" s="1" t="s">
        <v>320</v>
      </c>
      <c r="B851" s="1" t="s">
        <v>798</v>
      </c>
      <c r="C851" s="1" t="s">
        <v>799</v>
      </c>
      <c r="D851" s="1" t="s">
        <v>1253</v>
      </c>
    </row>
    <row r="852" spans="1:4">
      <c r="A852" s="1" t="s">
        <v>321</v>
      </c>
      <c r="B852" s="1" t="s">
        <v>794</v>
      </c>
      <c r="C852" s="1" t="s">
        <v>799</v>
      </c>
      <c r="D852" s="1" t="s">
        <v>1254</v>
      </c>
    </row>
    <row r="853" spans="1:4">
      <c r="A853" s="1" t="s">
        <v>321</v>
      </c>
      <c r="B853" s="1" t="s">
        <v>795</v>
      </c>
      <c r="C853" s="1" t="s">
        <v>799</v>
      </c>
      <c r="D853" s="1" t="s">
        <v>802</v>
      </c>
    </row>
    <row r="854" spans="1:4">
      <c r="A854" s="1" t="s">
        <v>321</v>
      </c>
      <c r="B854" s="1" t="s">
        <v>796</v>
      </c>
      <c r="C854" s="1" t="s">
        <v>799</v>
      </c>
    </row>
    <row r="855" spans="1:4">
      <c r="A855" s="1" t="s">
        <v>321</v>
      </c>
      <c r="B855" s="1" t="s">
        <v>797</v>
      </c>
      <c r="C855" s="1" t="s">
        <v>799</v>
      </c>
      <c r="D855" s="1" t="s">
        <v>1255</v>
      </c>
    </row>
    <row r="856" spans="1:4">
      <c r="A856" s="1" t="s">
        <v>321</v>
      </c>
      <c r="B856" s="1" t="s">
        <v>798</v>
      </c>
      <c r="C856" s="1" t="s">
        <v>799</v>
      </c>
      <c r="D856" s="1" t="s">
        <v>1256</v>
      </c>
    </row>
    <row r="857" spans="1:4">
      <c r="A857" s="1" t="s">
        <v>322</v>
      </c>
      <c r="B857" s="1" t="s">
        <v>794</v>
      </c>
      <c r="C857" s="1" t="s">
        <v>799</v>
      </c>
      <c r="D857" s="1" t="s">
        <v>1257</v>
      </c>
    </row>
    <row r="858" spans="1:4">
      <c r="A858" s="1" t="s">
        <v>322</v>
      </c>
      <c r="B858" s="1" t="s">
        <v>795</v>
      </c>
      <c r="C858" s="1" t="s">
        <v>799</v>
      </c>
      <c r="D858" s="1" t="s">
        <v>802</v>
      </c>
    </row>
    <row r="859" spans="1:4">
      <c r="A859" s="1" t="s">
        <v>322</v>
      </c>
      <c r="B859" s="1" t="s">
        <v>796</v>
      </c>
      <c r="C859" s="1" t="s">
        <v>799</v>
      </c>
    </row>
    <row r="860" spans="1:4">
      <c r="A860" s="1" t="s">
        <v>322</v>
      </c>
      <c r="B860" s="1" t="s">
        <v>797</v>
      </c>
      <c r="C860" s="1" t="s">
        <v>799</v>
      </c>
      <c r="D860" s="1" t="s">
        <v>1258</v>
      </c>
    </row>
    <row r="861" spans="1:4">
      <c r="A861" s="1" t="s">
        <v>322</v>
      </c>
      <c r="B861" s="1" t="s">
        <v>798</v>
      </c>
      <c r="C861" s="1" t="s">
        <v>799</v>
      </c>
      <c r="D861" s="1" t="s">
        <v>1259</v>
      </c>
    </row>
    <row r="862" spans="1:4">
      <c r="A862" s="1" t="s">
        <v>323</v>
      </c>
      <c r="B862" s="1" t="s">
        <v>794</v>
      </c>
      <c r="C862" s="1" t="s">
        <v>799</v>
      </c>
      <c r="D862" s="1" t="s">
        <v>1260</v>
      </c>
    </row>
    <row r="863" spans="1:4">
      <c r="A863" s="1" t="s">
        <v>323</v>
      </c>
      <c r="B863" s="1" t="s">
        <v>795</v>
      </c>
      <c r="C863" s="1" t="s">
        <v>799</v>
      </c>
      <c r="D863" s="1" t="s">
        <v>802</v>
      </c>
    </row>
    <row r="864" spans="1:4">
      <c r="A864" s="1" t="s">
        <v>323</v>
      </c>
      <c r="B864" s="1" t="s">
        <v>796</v>
      </c>
      <c r="C864" s="1" t="s">
        <v>799</v>
      </c>
    </row>
    <row r="865" spans="1:4">
      <c r="A865" s="1" t="s">
        <v>323</v>
      </c>
      <c r="B865" s="1" t="s">
        <v>797</v>
      </c>
      <c r="C865" s="1" t="s">
        <v>799</v>
      </c>
      <c r="D865" s="1" t="s">
        <v>1261</v>
      </c>
    </row>
    <row r="866" spans="1:4">
      <c r="A866" s="1" t="s">
        <v>323</v>
      </c>
      <c r="B866" s="1" t="s">
        <v>798</v>
      </c>
      <c r="C866" s="1" t="s">
        <v>799</v>
      </c>
      <c r="D866" s="1" t="s">
        <v>1262</v>
      </c>
    </row>
    <row r="867" spans="1:4">
      <c r="A867" s="1" t="s">
        <v>324</v>
      </c>
      <c r="B867" s="1" t="s">
        <v>794</v>
      </c>
      <c r="C867" s="1" t="s">
        <v>799</v>
      </c>
      <c r="D867" s="1" t="s">
        <v>1263</v>
      </c>
    </row>
    <row r="868" spans="1:4">
      <c r="A868" s="1" t="s">
        <v>324</v>
      </c>
      <c r="B868" s="1" t="s">
        <v>795</v>
      </c>
      <c r="C868" s="1" t="s">
        <v>799</v>
      </c>
      <c r="D868" s="1" t="s">
        <v>802</v>
      </c>
    </row>
    <row r="869" spans="1:4">
      <c r="A869" s="1" t="s">
        <v>324</v>
      </c>
      <c r="B869" s="1" t="s">
        <v>796</v>
      </c>
      <c r="C869" s="1" t="s">
        <v>799</v>
      </c>
    </row>
    <row r="870" spans="1:4">
      <c r="A870" s="1" t="s">
        <v>324</v>
      </c>
      <c r="B870" s="1" t="s">
        <v>797</v>
      </c>
      <c r="C870" s="1" t="s">
        <v>799</v>
      </c>
      <c r="D870" s="1" t="s">
        <v>1264</v>
      </c>
    </row>
    <row r="871" spans="1:4">
      <c r="A871" s="1" t="s">
        <v>324</v>
      </c>
      <c r="B871" s="1" t="s">
        <v>798</v>
      </c>
      <c r="C871" s="1" t="s">
        <v>799</v>
      </c>
      <c r="D871" s="1" t="s">
        <v>1265</v>
      </c>
    </row>
    <row r="872" spans="1:4">
      <c r="A872" s="1" t="s">
        <v>325</v>
      </c>
      <c r="B872" s="1" t="s">
        <v>794</v>
      </c>
      <c r="C872" s="1" t="s">
        <v>799</v>
      </c>
      <c r="D872" s="1" t="s">
        <v>1266</v>
      </c>
    </row>
    <row r="873" spans="1:4">
      <c r="A873" s="1" t="s">
        <v>325</v>
      </c>
      <c r="B873" s="1" t="s">
        <v>795</v>
      </c>
      <c r="C873" s="1" t="s">
        <v>799</v>
      </c>
      <c r="D873" s="1" t="s">
        <v>802</v>
      </c>
    </row>
    <row r="874" spans="1:4">
      <c r="A874" s="1" t="s">
        <v>325</v>
      </c>
      <c r="B874" s="1" t="s">
        <v>796</v>
      </c>
      <c r="C874" s="1" t="s">
        <v>799</v>
      </c>
    </row>
    <row r="875" spans="1:4">
      <c r="A875" s="1" t="s">
        <v>325</v>
      </c>
      <c r="B875" s="1" t="s">
        <v>797</v>
      </c>
      <c r="C875" s="1" t="s">
        <v>799</v>
      </c>
      <c r="D875" s="1" t="s">
        <v>1267</v>
      </c>
    </row>
    <row r="876" spans="1:4">
      <c r="A876" s="1" t="s">
        <v>325</v>
      </c>
      <c r="B876" s="1" t="s">
        <v>798</v>
      </c>
      <c r="C876" s="1" t="s">
        <v>799</v>
      </c>
      <c r="D876" s="1" t="s">
        <v>1268</v>
      </c>
    </row>
    <row r="877" spans="1:4">
      <c r="A877" s="1" t="s">
        <v>326</v>
      </c>
      <c r="B877" s="1" t="s">
        <v>794</v>
      </c>
      <c r="C877" s="1" t="s">
        <v>799</v>
      </c>
      <c r="D877" s="1" t="s">
        <v>1269</v>
      </c>
    </row>
    <row r="878" spans="1:4">
      <c r="A878" s="1" t="s">
        <v>326</v>
      </c>
      <c r="B878" s="1" t="s">
        <v>795</v>
      </c>
      <c r="C878" s="1" t="s">
        <v>799</v>
      </c>
      <c r="D878" s="1" t="s">
        <v>802</v>
      </c>
    </row>
    <row r="879" spans="1:4">
      <c r="A879" s="1" t="s">
        <v>326</v>
      </c>
      <c r="B879" s="1" t="s">
        <v>796</v>
      </c>
      <c r="C879" s="1" t="s">
        <v>799</v>
      </c>
    </row>
    <row r="880" spans="1:4">
      <c r="A880" s="1" t="s">
        <v>326</v>
      </c>
      <c r="B880" s="1" t="s">
        <v>797</v>
      </c>
      <c r="C880" s="1" t="s">
        <v>799</v>
      </c>
      <c r="D880" s="1" t="s">
        <v>1270</v>
      </c>
    </row>
    <row r="881" spans="1:4">
      <c r="A881" s="1" t="s">
        <v>326</v>
      </c>
      <c r="B881" s="1" t="s">
        <v>798</v>
      </c>
      <c r="C881" s="1" t="s">
        <v>799</v>
      </c>
      <c r="D881" s="1" t="s">
        <v>1271</v>
      </c>
    </row>
    <row r="882" spans="1:4">
      <c r="A882" s="1" t="s">
        <v>327</v>
      </c>
      <c r="B882" s="1" t="s">
        <v>794</v>
      </c>
      <c r="C882" s="1" t="s">
        <v>799</v>
      </c>
      <c r="D882" s="1" t="s">
        <v>1272</v>
      </c>
    </row>
    <row r="883" spans="1:4">
      <c r="A883" s="1" t="s">
        <v>327</v>
      </c>
      <c r="B883" s="1" t="s">
        <v>795</v>
      </c>
      <c r="C883" s="1" t="s">
        <v>799</v>
      </c>
      <c r="D883" s="1" t="s">
        <v>802</v>
      </c>
    </row>
    <row r="884" spans="1:4">
      <c r="A884" s="1" t="s">
        <v>327</v>
      </c>
      <c r="B884" s="1" t="s">
        <v>796</v>
      </c>
      <c r="C884" s="1" t="s">
        <v>799</v>
      </c>
    </row>
    <row r="885" spans="1:4">
      <c r="A885" s="1" t="s">
        <v>327</v>
      </c>
      <c r="B885" s="1" t="s">
        <v>797</v>
      </c>
      <c r="C885" s="1" t="s">
        <v>799</v>
      </c>
      <c r="D885" s="1" t="s">
        <v>1273</v>
      </c>
    </row>
    <row r="886" spans="1:4">
      <c r="A886" s="1" t="s">
        <v>327</v>
      </c>
      <c r="B886" s="1" t="s">
        <v>798</v>
      </c>
      <c r="C886" s="1" t="s">
        <v>799</v>
      </c>
      <c r="D886" s="1" t="s">
        <v>1274</v>
      </c>
    </row>
    <row r="887" spans="1:4">
      <c r="A887" s="1" t="s">
        <v>328</v>
      </c>
      <c r="B887" s="1" t="s">
        <v>794</v>
      </c>
      <c r="C887" s="1" t="s">
        <v>799</v>
      </c>
      <c r="D887" s="1" t="s">
        <v>1275</v>
      </c>
    </row>
    <row r="888" spans="1:4">
      <c r="A888" s="1" t="s">
        <v>328</v>
      </c>
      <c r="B888" s="1" t="s">
        <v>795</v>
      </c>
      <c r="C888" s="1" t="s">
        <v>799</v>
      </c>
      <c r="D888" s="1" t="s">
        <v>802</v>
      </c>
    </row>
    <row r="889" spans="1:4">
      <c r="A889" s="1" t="s">
        <v>328</v>
      </c>
      <c r="B889" s="1" t="s">
        <v>796</v>
      </c>
      <c r="C889" s="1" t="s">
        <v>799</v>
      </c>
    </row>
    <row r="890" spans="1:4">
      <c r="A890" s="1" t="s">
        <v>328</v>
      </c>
      <c r="B890" s="1" t="s">
        <v>797</v>
      </c>
      <c r="C890" s="1" t="s">
        <v>799</v>
      </c>
      <c r="D890" s="1" t="s">
        <v>1276</v>
      </c>
    </row>
    <row r="891" spans="1:4">
      <c r="A891" s="1" t="s">
        <v>328</v>
      </c>
      <c r="B891" s="1" t="s">
        <v>798</v>
      </c>
      <c r="C891" s="1" t="s">
        <v>799</v>
      </c>
      <c r="D891" s="1" t="s">
        <v>1277</v>
      </c>
    </row>
    <row r="892" spans="1:4">
      <c r="A892" s="1" t="s">
        <v>329</v>
      </c>
      <c r="B892" s="1" t="s">
        <v>794</v>
      </c>
      <c r="C892" s="1" t="s">
        <v>799</v>
      </c>
      <c r="D892" s="1" t="s">
        <v>1278</v>
      </c>
    </row>
    <row r="893" spans="1:4">
      <c r="A893" s="1" t="s">
        <v>329</v>
      </c>
      <c r="B893" s="1" t="s">
        <v>795</v>
      </c>
      <c r="C893" s="1" t="s">
        <v>799</v>
      </c>
      <c r="D893" s="1" t="s">
        <v>802</v>
      </c>
    </row>
    <row r="894" spans="1:4">
      <c r="A894" s="1" t="s">
        <v>329</v>
      </c>
      <c r="B894" s="1" t="s">
        <v>796</v>
      </c>
      <c r="C894" s="1" t="s">
        <v>799</v>
      </c>
    </row>
    <row r="895" spans="1:4">
      <c r="A895" s="1" t="s">
        <v>329</v>
      </c>
      <c r="B895" s="1" t="s">
        <v>797</v>
      </c>
      <c r="C895" s="1" t="s">
        <v>799</v>
      </c>
      <c r="D895" s="1" t="s">
        <v>1279</v>
      </c>
    </row>
    <row r="896" spans="1:4">
      <c r="A896" s="1" t="s">
        <v>329</v>
      </c>
      <c r="B896" s="1" t="s">
        <v>798</v>
      </c>
      <c r="C896" s="1" t="s">
        <v>799</v>
      </c>
      <c r="D896" s="1" t="s">
        <v>1280</v>
      </c>
    </row>
    <row r="897" spans="1:4">
      <c r="A897" s="1" t="s">
        <v>330</v>
      </c>
      <c r="B897" s="1" t="s">
        <v>794</v>
      </c>
      <c r="C897" s="1" t="s">
        <v>799</v>
      </c>
      <c r="D897" s="1" t="s">
        <v>1281</v>
      </c>
    </row>
    <row r="898" spans="1:4">
      <c r="A898" s="1" t="s">
        <v>330</v>
      </c>
      <c r="B898" s="1" t="s">
        <v>795</v>
      </c>
      <c r="C898" s="1" t="s">
        <v>799</v>
      </c>
      <c r="D898" s="1" t="s">
        <v>802</v>
      </c>
    </row>
    <row r="899" spans="1:4">
      <c r="A899" s="1" t="s">
        <v>330</v>
      </c>
      <c r="B899" s="1" t="s">
        <v>796</v>
      </c>
      <c r="C899" s="1" t="s">
        <v>799</v>
      </c>
    </row>
    <row r="900" spans="1:4">
      <c r="A900" s="1" t="s">
        <v>330</v>
      </c>
      <c r="B900" s="1" t="s">
        <v>797</v>
      </c>
      <c r="C900" s="1" t="s">
        <v>799</v>
      </c>
      <c r="D900" s="1" t="s">
        <v>1282</v>
      </c>
    </row>
    <row r="901" spans="1:4">
      <c r="A901" s="1" t="s">
        <v>330</v>
      </c>
      <c r="B901" s="1" t="s">
        <v>798</v>
      </c>
      <c r="C901" s="1" t="s">
        <v>799</v>
      </c>
      <c r="D901" s="1" t="s">
        <v>1283</v>
      </c>
    </row>
    <row r="902" spans="1:4">
      <c r="A902" s="1" t="s">
        <v>331</v>
      </c>
      <c r="B902" s="1" t="s">
        <v>794</v>
      </c>
      <c r="C902" s="1" t="s">
        <v>799</v>
      </c>
      <c r="D902" s="1" t="s">
        <v>1284</v>
      </c>
    </row>
    <row r="903" spans="1:4">
      <c r="A903" s="1" t="s">
        <v>331</v>
      </c>
      <c r="B903" s="1" t="s">
        <v>795</v>
      </c>
      <c r="C903" s="1" t="s">
        <v>799</v>
      </c>
      <c r="D903" s="1" t="s">
        <v>802</v>
      </c>
    </row>
    <row r="904" spans="1:4">
      <c r="A904" s="1" t="s">
        <v>331</v>
      </c>
      <c r="B904" s="1" t="s">
        <v>796</v>
      </c>
      <c r="C904" s="1" t="s">
        <v>799</v>
      </c>
    </row>
    <row r="905" spans="1:4">
      <c r="A905" s="1" t="s">
        <v>331</v>
      </c>
      <c r="B905" s="1" t="s">
        <v>797</v>
      </c>
      <c r="C905" s="1" t="s">
        <v>799</v>
      </c>
      <c r="D905" s="1" t="s">
        <v>1285</v>
      </c>
    </row>
    <row r="906" spans="1:4">
      <c r="A906" s="1" t="s">
        <v>331</v>
      </c>
      <c r="B906" s="1" t="s">
        <v>798</v>
      </c>
      <c r="C906" s="1" t="s">
        <v>799</v>
      </c>
      <c r="D906" s="1" t="s">
        <v>1286</v>
      </c>
    </row>
    <row r="907" spans="1:4">
      <c r="A907" s="1" t="s">
        <v>332</v>
      </c>
      <c r="B907" s="1" t="s">
        <v>794</v>
      </c>
      <c r="C907" s="1" t="s">
        <v>799</v>
      </c>
      <c r="D907" s="1" t="s">
        <v>1287</v>
      </c>
    </row>
    <row r="908" spans="1:4">
      <c r="A908" s="1" t="s">
        <v>332</v>
      </c>
      <c r="B908" s="1" t="s">
        <v>795</v>
      </c>
      <c r="C908" s="1" t="s">
        <v>799</v>
      </c>
      <c r="D908" s="1" t="s">
        <v>802</v>
      </c>
    </row>
    <row r="909" spans="1:4">
      <c r="A909" s="1" t="s">
        <v>332</v>
      </c>
      <c r="B909" s="1" t="s">
        <v>796</v>
      </c>
      <c r="C909" s="1" t="s">
        <v>799</v>
      </c>
    </row>
    <row r="910" spans="1:4">
      <c r="A910" s="1" t="s">
        <v>332</v>
      </c>
      <c r="B910" s="1" t="s">
        <v>797</v>
      </c>
      <c r="C910" s="1" t="s">
        <v>799</v>
      </c>
      <c r="D910" s="1" t="s">
        <v>1288</v>
      </c>
    </row>
    <row r="911" spans="1:4">
      <c r="A911" s="1" t="s">
        <v>332</v>
      </c>
      <c r="B911" s="1" t="s">
        <v>798</v>
      </c>
      <c r="C911" s="1" t="s">
        <v>799</v>
      </c>
      <c r="D911" s="1" t="s">
        <v>1289</v>
      </c>
    </row>
    <row r="912" spans="1:4">
      <c r="A912" s="1" t="s">
        <v>333</v>
      </c>
      <c r="B912" s="1" t="s">
        <v>794</v>
      </c>
      <c r="C912" s="1" t="s">
        <v>799</v>
      </c>
      <c r="D912" s="1" t="s">
        <v>1290</v>
      </c>
    </row>
    <row r="913" spans="1:4">
      <c r="A913" s="1" t="s">
        <v>333</v>
      </c>
      <c r="B913" s="1" t="s">
        <v>795</v>
      </c>
      <c r="C913" s="1" t="s">
        <v>799</v>
      </c>
      <c r="D913" s="1" t="s">
        <v>802</v>
      </c>
    </row>
    <row r="914" spans="1:4">
      <c r="A914" s="1" t="s">
        <v>333</v>
      </c>
      <c r="B914" s="1" t="s">
        <v>796</v>
      </c>
      <c r="C914" s="1" t="s">
        <v>799</v>
      </c>
    </row>
    <row r="915" spans="1:4">
      <c r="A915" s="1" t="s">
        <v>333</v>
      </c>
      <c r="B915" s="1" t="s">
        <v>797</v>
      </c>
      <c r="C915" s="1" t="s">
        <v>799</v>
      </c>
      <c r="D915" s="1" t="s">
        <v>1291</v>
      </c>
    </row>
    <row r="916" spans="1:4">
      <c r="A916" s="1" t="s">
        <v>333</v>
      </c>
      <c r="B916" s="1" t="s">
        <v>798</v>
      </c>
      <c r="C916" s="1" t="s">
        <v>799</v>
      </c>
      <c r="D916" s="1" t="s">
        <v>1292</v>
      </c>
    </row>
    <row r="917" spans="1:4">
      <c r="A917" s="1" t="s">
        <v>334</v>
      </c>
      <c r="B917" s="1" t="s">
        <v>794</v>
      </c>
      <c r="C917" s="1" t="s">
        <v>799</v>
      </c>
      <c r="D917" s="1" t="s">
        <v>1293</v>
      </c>
    </row>
    <row r="918" spans="1:4">
      <c r="A918" s="1" t="s">
        <v>334</v>
      </c>
      <c r="B918" s="1" t="s">
        <v>795</v>
      </c>
      <c r="C918" s="1" t="s">
        <v>799</v>
      </c>
      <c r="D918" s="1" t="s">
        <v>802</v>
      </c>
    </row>
    <row r="919" spans="1:4">
      <c r="A919" s="1" t="s">
        <v>334</v>
      </c>
      <c r="B919" s="1" t="s">
        <v>796</v>
      </c>
      <c r="C919" s="1" t="s">
        <v>799</v>
      </c>
    </row>
    <row r="920" spans="1:4">
      <c r="A920" s="1" t="s">
        <v>334</v>
      </c>
      <c r="B920" s="1" t="s">
        <v>797</v>
      </c>
      <c r="C920" s="1" t="s">
        <v>799</v>
      </c>
      <c r="D920" s="1" t="s">
        <v>1294</v>
      </c>
    </row>
    <row r="921" spans="1:4">
      <c r="A921" s="1" t="s">
        <v>334</v>
      </c>
      <c r="B921" s="1" t="s">
        <v>798</v>
      </c>
      <c r="C921" s="1" t="s">
        <v>799</v>
      </c>
      <c r="D921" s="1" t="s">
        <v>1295</v>
      </c>
    </row>
    <row r="922" spans="1:4">
      <c r="A922" s="1" t="s">
        <v>335</v>
      </c>
      <c r="B922" s="1" t="s">
        <v>794</v>
      </c>
      <c r="C922" s="1" t="s">
        <v>799</v>
      </c>
      <c r="D922" s="1" t="s">
        <v>1296</v>
      </c>
    </row>
    <row r="923" spans="1:4">
      <c r="A923" s="1" t="s">
        <v>335</v>
      </c>
      <c r="B923" s="1" t="s">
        <v>795</v>
      </c>
      <c r="C923" s="1" t="s">
        <v>799</v>
      </c>
      <c r="D923" s="1" t="s">
        <v>802</v>
      </c>
    </row>
    <row r="924" spans="1:4">
      <c r="A924" s="1" t="s">
        <v>335</v>
      </c>
      <c r="B924" s="1" t="s">
        <v>796</v>
      </c>
      <c r="C924" s="1" t="s">
        <v>799</v>
      </c>
    </row>
    <row r="925" spans="1:4">
      <c r="A925" s="1" t="s">
        <v>335</v>
      </c>
      <c r="B925" s="1" t="s">
        <v>797</v>
      </c>
      <c r="C925" s="1" t="s">
        <v>800</v>
      </c>
      <c r="D925" s="1" t="s">
        <v>1297</v>
      </c>
    </row>
    <row r="926" spans="1:4">
      <c r="A926" s="1" t="s">
        <v>335</v>
      </c>
      <c r="B926" s="1" t="s">
        <v>798</v>
      </c>
      <c r="C926" s="1" t="s">
        <v>799</v>
      </c>
      <c r="D926" s="1" t="s">
        <v>1298</v>
      </c>
    </row>
    <row r="927" spans="1:4">
      <c r="A927" s="1" t="s">
        <v>336</v>
      </c>
      <c r="B927" s="1" t="s">
        <v>794</v>
      </c>
      <c r="C927" s="1" t="s">
        <v>799</v>
      </c>
      <c r="D927" s="1" t="s">
        <v>1299</v>
      </c>
    </row>
    <row r="928" spans="1:4">
      <c r="A928" s="1" t="s">
        <v>336</v>
      </c>
      <c r="B928" s="1" t="s">
        <v>795</v>
      </c>
      <c r="C928" s="1" t="s">
        <v>799</v>
      </c>
      <c r="D928" s="1" t="s">
        <v>802</v>
      </c>
    </row>
    <row r="929" spans="1:4">
      <c r="A929" s="1" t="s">
        <v>336</v>
      </c>
      <c r="B929" s="1" t="s">
        <v>796</v>
      </c>
      <c r="C929" s="1" t="s">
        <v>799</v>
      </c>
    </row>
    <row r="930" spans="1:4">
      <c r="A930" s="1" t="s">
        <v>336</v>
      </c>
      <c r="B930" s="1" t="s">
        <v>797</v>
      </c>
      <c r="C930" s="1" t="s">
        <v>799</v>
      </c>
      <c r="D930" s="1" t="s">
        <v>1300</v>
      </c>
    </row>
    <row r="931" spans="1:4">
      <c r="A931" s="1" t="s">
        <v>336</v>
      </c>
      <c r="B931" s="1" t="s">
        <v>798</v>
      </c>
      <c r="C931" s="1" t="s">
        <v>799</v>
      </c>
      <c r="D931" s="1" t="s">
        <v>1301</v>
      </c>
    </row>
    <row r="932" spans="1:4">
      <c r="A932" s="1" t="s">
        <v>337</v>
      </c>
      <c r="B932" s="1" t="s">
        <v>794</v>
      </c>
      <c r="C932" s="1" t="s">
        <v>799</v>
      </c>
      <c r="D932" s="1" t="s">
        <v>1302</v>
      </c>
    </row>
    <row r="933" spans="1:4">
      <c r="A933" s="1" t="s">
        <v>337</v>
      </c>
      <c r="B933" s="1" t="s">
        <v>795</v>
      </c>
      <c r="C933" s="1" t="s">
        <v>799</v>
      </c>
      <c r="D933" s="1" t="s">
        <v>802</v>
      </c>
    </row>
    <row r="934" spans="1:4">
      <c r="A934" s="1" t="s">
        <v>337</v>
      </c>
      <c r="B934" s="1" t="s">
        <v>796</v>
      </c>
      <c r="C934" s="1" t="s">
        <v>799</v>
      </c>
    </row>
    <row r="935" spans="1:4">
      <c r="A935" s="1" t="s">
        <v>337</v>
      </c>
      <c r="B935" s="1" t="s">
        <v>797</v>
      </c>
      <c r="C935" s="1" t="s">
        <v>799</v>
      </c>
      <c r="D935" s="1" t="s">
        <v>1303</v>
      </c>
    </row>
    <row r="936" spans="1:4">
      <c r="A936" s="1" t="s">
        <v>337</v>
      </c>
      <c r="B936" s="1" t="s">
        <v>798</v>
      </c>
      <c r="C936" s="1" t="s">
        <v>799</v>
      </c>
      <c r="D936" s="1" t="s">
        <v>1304</v>
      </c>
    </row>
    <row r="937" spans="1:4">
      <c r="A937" s="1" t="s">
        <v>338</v>
      </c>
      <c r="B937" s="1" t="s">
        <v>794</v>
      </c>
      <c r="C937" s="1" t="s">
        <v>799</v>
      </c>
      <c r="D937" s="1" t="s">
        <v>1305</v>
      </c>
    </row>
    <row r="938" spans="1:4">
      <c r="A938" s="1" t="s">
        <v>338</v>
      </c>
      <c r="B938" s="1" t="s">
        <v>795</v>
      </c>
      <c r="C938" s="1" t="s">
        <v>799</v>
      </c>
      <c r="D938" s="1" t="s">
        <v>802</v>
      </c>
    </row>
    <row r="939" spans="1:4">
      <c r="A939" s="1" t="s">
        <v>338</v>
      </c>
      <c r="B939" s="1" t="s">
        <v>796</v>
      </c>
      <c r="C939" s="1" t="s">
        <v>799</v>
      </c>
    </row>
    <row r="940" spans="1:4">
      <c r="A940" s="1" t="s">
        <v>338</v>
      </c>
      <c r="B940" s="1" t="s">
        <v>797</v>
      </c>
      <c r="C940" s="1" t="s">
        <v>799</v>
      </c>
      <c r="D940" s="1" t="s">
        <v>1306</v>
      </c>
    </row>
    <row r="941" spans="1:4">
      <c r="A941" s="1" t="s">
        <v>338</v>
      </c>
      <c r="B941" s="1" t="s">
        <v>798</v>
      </c>
      <c r="C941" s="1" t="s">
        <v>799</v>
      </c>
      <c r="D941" s="1" t="s">
        <v>1307</v>
      </c>
    </row>
    <row r="942" spans="1:4">
      <c r="A942" s="1" t="s">
        <v>339</v>
      </c>
      <c r="B942" s="1" t="s">
        <v>794</v>
      </c>
      <c r="C942" s="1" t="s">
        <v>799</v>
      </c>
      <c r="D942" s="1" t="s">
        <v>1308</v>
      </c>
    </row>
    <row r="943" spans="1:4">
      <c r="A943" s="1" t="s">
        <v>339</v>
      </c>
      <c r="B943" s="1" t="s">
        <v>795</v>
      </c>
      <c r="C943" s="1" t="s">
        <v>799</v>
      </c>
      <c r="D943" s="1" t="s">
        <v>802</v>
      </c>
    </row>
    <row r="944" spans="1:4">
      <c r="A944" s="1" t="s">
        <v>339</v>
      </c>
      <c r="B944" s="1" t="s">
        <v>796</v>
      </c>
      <c r="C944" s="1" t="s">
        <v>799</v>
      </c>
    </row>
    <row r="945" spans="1:4">
      <c r="A945" s="1" t="s">
        <v>339</v>
      </c>
      <c r="B945" s="1" t="s">
        <v>797</v>
      </c>
      <c r="C945" s="1" t="s">
        <v>799</v>
      </c>
      <c r="D945" s="1" t="s">
        <v>1309</v>
      </c>
    </row>
    <row r="946" spans="1:4">
      <c r="A946" s="1" t="s">
        <v>339</v>
      </c>
      <c r="B946" s="1" t="s">
        <v>798</v>
      </c>
      <c r="C946" s="1" t="s">
        <v>799</v>
      </c>
      <c r="D946" s="1" t="s">
        <v>1310</v>
      </c>
    </row>
    <row r="947" spans="1:4">
      <c r="A947" s="1" t="s">
        <v>340</v>
      </c>
      <c r="B947" s="1" t="s">
        <v>794</v>
      </c>
      <c r="C947" s="1" t="s">
        <v>799</v>
      </c>
      <c r="D947" s="1" t="s">
        <v>1311</v>
      </c>
    </row>
    <row r="948" spans="1:4">
      <c r="A948" s="1" t="s">
        <v>340</v>
      </c>
      <c r="B948" s="1" t="s">
        <v>795</v>
      </c>
      <c r="C948" s="1" t="s">
        <v>799</v>
      </c>
      <c r="D948" s="1" t="s">
        <v>802</v>
      </c>
    </row>
    <row r="949" spans="1:4">
      <c r="A949" s="1" t="s">
        <v>340</v>
      </c>
      <c r="B949" s="1" t="s">
        <v>796</v>
      </c>
      <c r="C949" s="1" t="s">
        <v>799</v>
      </c>
    </row>
    <row r="950" spans="1:4">
      <c r="A950" s="1" t="s">
        <v>340</v>
      </c>
      <c r="B950" s="1" t="s">
        <v>797</v>
      </c>
      <c r="C950" s="1" t="s">
        <v>799</v>
      </c>
      <c r="D950" s="1" t="s">
        <v>1312</v>
      </c>
    </row>
    <row r="951" spans="1:4">
      <c r="A951" s="1" t="s">
        <v>340</v>
      </c>
      <c r="B951" s="1" t="s">
        <v>798</v>
      </c>
      <c r="C951" s="1" t="s">
        <v>799</v>
      </c>
      <c r="D951" s="1" t="s">
        <v>1313</v>
      </c>
    </row>
    <row r="952" spans="1:4">
      <c r="A952" s="1" t="s">
        <v>341</v>
      </c>
      <c r="B952" s="1" t="s">
        <v>794</v>
      </c>
      <c r="C952" s="1" t="s">
        <v>799</v>
      </c>
      <c r="D952" s="1" t="s">
        <v>1314</v>
      </c>
    </row>
    <row r="953" spans="1:4">
      <c r="A953" s="1" t="s">
        <v>341</v>
      </c>
      <c r="B953" s="1" t="s">
        <v>795</v>
      </c>
      <c r="C953" s="1" t="s">
        <v>799</v>
      </c>
      <c r="D953" s="1" t="s">
        <v>802</v>
      </c>
    </row>
    <row r="954" spans="1:4">
      <c r="A954" s="1" t="s">
        <v>341</v>
      </c>
      <c r="B954" s="1" t="s">
        <v>796</v>
      </c>
      <c r="C954" s="1" t="s">
        <v>799</v>
      </c>
    </row>
    <row r="955" spans="1:4">
      <c r="A955" s="1" t="s">
        <v>341</v>
      </c>
      <c r="B955" s="1" t="s">
        <v>797</v>
      </c>
      <c r="C955" s="1" t="s">
        <v>799</v>
      </c>
      <c r="D955" s="1" t="s">
        <v>1315</v>
      </c>
    </row>
    <row r="956" spans="1:4">
      <c r="A956" s="1" t="s">
        <v>341</v>
      </c>
      <c r="B956" s="1" t="s">
        <v>798</v>
      </c>
      <c r="C956" s="1" t="s">
        <v>799</v>
      </c>
      <c r="D956" s="1" t="s">
        <v>1316</v>
      </c>
    </row>
    <row r="957" spans="1:4">
      <c r="A957" s="1" t="s">
        <v>342</v>
      </c>
      <c r="B957" s="1" t="s">
        <v>794</v>
      </c>
      <c r="C957" s="1" t="s">
        <v>799</v>
      </c>
      <c r="D957" s="1" t="s">
        <v>1317</v>
      </c>
    </row>
    <row r="958" spans="1:4">
      <c r="A958" s="1" t="s">
        <v>342</v>
      </c>
      <c r="B958" s="1" t="s">
        <v>795</v>
      </c>
      <c r="C958" s="1" t="s">
        <v>799</v>
      </c>
      <c r="D958" s="1" t="s">
        <v>802</v>
      </c>
    </row>
    <row r="959" spans="1:4">
      <c r="A959" s="1" t="s">
        <v>342</v>
      </c>
      <c r="B959" s="1" t="s">
        <v>796</v>
      </c>
      <c r="C959" s="1" t="s">
        <v>799</v>
      </c>
    </row>
    <row r="960" spans="1:4">
      <c r="A960" s="1" t="s">
        <v>342</v>
      </c>
      <c r="B960" s="1" t="s">
        <v>797</v>
      </c>
      <c r="C960" s="1" t="s">
        <v>799</v>
      </c>
      <c r="D960" s="1" t="s">
        <v>1318</v>
      </c>
    </row>
    <row r="961" spans="1:4">
      <c r="A961" s="1" t="s">
        <v>342</v>
      </c>
      <c r="B961" s="1" t="s">
        <v>798</v>
      </c>
      <c r="C961" s="1" t="s">
        <v>799</v>
      </c>
      <c r="D961" s="1" t="s">
        <v>1319</v>
      </c>
    </row>
    <row r="962" spans="1:4">
      <c r="A962" s="1" t="s">
        <v>343</v>
      </c>
      <c r="B962" s="1" t="s">
        <v>794</v>
      </c>
      <c r="C962" s="1" t="s">
        <v>799</v>
      </c>
      <c r="D962" s="1" t="s">
        <v>1320</v>
      </c>
    </row>
    <row r="963" spans="1:4">
      <c r="A963" s="1" t="s">
        <v>343</v>
      </c>
      <c r="B963" s="1" t="s">
        <v>795</v>
      </c>
      <c r="C963" s="1" t="s">
        <v>799</v>
      </c>
      <c r="D963" s="1" t="s">
        <v>802</v>
      </c>
    </row>
    <row r="964" spans="1:4">
      <c r="A964" s="1" t="s">
        <v>343</v>
      </c>
      <c r="B964" s="1" t="s">
        <v>796</v>
      </c>
      <c r="C964" s="1" t="s">
        <v>799</v>
      </c>
    </row>
    <row r="965" spans="1:4">
      <c r="A965" s="1" t="s">
        <v>343</v>
      </c>
      <c r="B965" s="1" t="s">
        <v>797</v>
      </c>
      <c r="C965" s="1" t="s">
        <v>799</v>
      </c>
      <c r="D965" s="1" t="s">
        <v>1321</v>
      </c>
    </row>
    <row r="966" spans="1:4">
      <c r="A966" s="1" t="s">
        <v>343</v>
      </c>
      <c r="B966" s="1" t="s">
        <v>798</v>
      </c>
      <c r="C966" s="1" t="s">
        <v>799</v>
      </c>
      <c r="D966" s="1" t="s">
        <v>1322</v>
      </c>
    </row>
    <row r="967" spans="1:4">
      <c r="A967" s="1" t="s">
        <v>344</v>
      </c>
      <c r="B967" s="1" t="s">
        <v>794</v>
      </c>
      <c r="C967" s="1" t="s">
        <v>799</v>
      </c>
      <c r="D967" s="1" t="s">
        <v>1323</v>
      </c>
    </row>
    <row r="968" spans="1:4">
      <c r="A968" s="1" t="s">
        <v>344</v>
      </c>
      <c r="B968" s="1" t="s">
        <v>795</v>
      </c>
      <c r="C968" s="1" t="s">
        <v>799</v>
      </c>
      <c r="D968" s="1" t="s">
        <v>802</v>
      </c>
    </row>
    <row r="969" spans="1:4">
      <c r="A969" s="1" t="s">
        <v>344</v>
      </c>
      <c r="B969" s="1" t="s">
        <v>796</v>
      </c>
      <c r="C969" s="1" t="s">
        <v>799</v>
      </c>
    </row>
    <row r="970" spans="1:4">
      <c r="A970" s="1" t="s">
        <v>344</v>
      </c>
      <c r="B970" s="1" t="s">
        <v>797</v>
      </c>
      <c r="C970" s="1" t="s">
        <v>799</v>
      </c>
      <c r="D970" s="1" t="s">
        <v>1324</v>
      </c>
    </row>
    <row r="971" spans="1:4">
      <c r="A971" s="1" t="s">
        <v>344</v>
      </c>
      <c r="B971" s="1" t="s">
        <v>798</v>
      </c>
      <c r="C971" s="1" t="s">
        <v>799</v>
      </c>
      <c r="D971" s="1" t="s">
        <v>1325</v>
      </c>
    </row>
    <row r="972" spans="1:4">
      <c r="A972" s="1" t="s">
        <v>345</v>
      </c>
      <c r="B972" s="1" t="s">
        <v>794</v>
      </c>
      <c r="C972" s="1" t="s">
        <v>799</v>
      </c>
      <c r="D972" s="1" t="s">
        <v>1326</v>
      </c>
    </row>
    <row r="973" spans="1:4">
      <c r="A973" s="1" t="s">
        <v>345</v>
      </c>
      <c r="B973" s="1" t="s">
        <v>795</v>
      </c>
      <c r="C973" s="1" t="s">
        <v>799</v>
      </c>
      <c r="D973" s="1" t="s">
        <v>802</v>
      </c>
    </row>
    <row r="974" spans="1:4">
      <c r="A974" s="1" t="s">
        <v>345</v>
      </c>
      <c r="B974" s="1" t="s">
        <v>796</v>
      </c>
      <c r="C974" s="1" t="s">
        <v>799</v>
      </c>
    </row>
    <row r="975" spans="1:4">
      <c r="A975" s="1" t="s">
        <v>345</v>
      </c>
      <c r="B975" s="1" t="s">
        <v>797</v>
      </c>
      <c r="C975" s="1" t="s">
        <v>799</v>
      </c>
      <c r="D975" s="1" t="s">
        <v>1327</v>
      </c>
    </row>
    <row r="976" spans="1:4">
      <c r="A976" s="1" t="s">
        <v>345</v>
      </c>
      <c r="B976" s="1" t="s">
        <v>798</v>
      </c>
      <c r="C976" s="1" t="s">
        <v>799</v>
      </c>
      <c r="D976" s="1" t="s">
        <v>1328</v>
      </c>
    </row>
    <row r="977" spans="1:4">
      <c r="A977" s="1" t="s">
        <v>346</v>
      </c>
      <c r="B977" s="1" t="s">
        <v>794</v>
      </c>
      <c r="C977" s="1" t="s">
        <v>799</v>
      </c>
      <c r="D977" s="1" t="s">
        <v>1329</v>
      </c>
    </row>
    <row r="978" spans="1:4">
      <c r="A978" s="1" t="s">
        <v>346</v>
      </c>
      <c r="B978" s="1" t="s">
        <v>795</v>
      </c>
      <c r="C978" s="1" t="s">
        <v>799</v>
      </c>
      <c r="D978" s="1" t="s">
        <v>802</v>
      </c>
    </row>
    <row r="979" spans="1:4">
      <c r="A979" s="1" t="s">
        <v>346</v>
      </c>
      <c r="B979" s="1" t="s">
        <v>796</v>
      </c>
      <c r="C979" s="1" t="s">
        <v>799</v>
      </c>
    </row>
    <row r="980" spans="1:4">
      <c r="A980" s="1" t="s">
        <v>346</v>
      </c>
      <c r="B980" s="1" t="s">
        <v>797</v>
      </c>
      <c r="C980" s="1" t="s">
        <v>799</v>
      </c>
      <c r="D980" s="1" t="s">
        <v>1330</v>
      </c>
    </row>
    <row r="981" spans="1:4">
      <c r="A981" s="1" t="s">
        <v>346</v>
      </c>
      <c r="B981" s="1" t="s">
        <v>798</v>
      </c>
      <c r="C981" s="1" t="s">
        <v>799</v>
      </c>
      <c r="D981" s="1" t="s">
        <v>1331</v>
      </c>
    </row>
    <row r="982" spans="1:4">
      <c r="A982" s="1" t="s">
        <v>347</v>
      </c>
      <c r="B982" s="1" t="s">
        <v>794</v>
      </c>
      <c r="C982" s="1" t="s">
        <v>799</v>
      </c>
      <c r="D982" s="1" t="s">
        <v>1332</v>
      </c>
    </row>
    <row r="983" spans="1:4">
      <c r="A983" s="1" t="s">
        <v>347</v>
      </c>
      <c r="B983" s="1" t="s">
        <v>795</v>
      </c>
      <c r="C983" s="1" t="s">
        <v>799</v>
      </c>
      <c r="D983" s="1" t="s">
        <v>802</v>
      </c>
    </row>
    <row r="984" spans="1:4">
      <c r="A984" s="1" t="s">
        <v>347</v>
      </c>
      <c r="B984" s="1" t="s">
        <v>796</v>
      </c>
      <c r="C984" s="1" t="s">
        <v>799</v>
      </c>
    </row>
    <row r="985" spans="1:4">
      <c r="A985" s="1" t="s">
        <v>347</v>
      </c>
      <c r="B985" s="1" t="s">
        <v>797</v>
      </c>
      <c r="C985" s="1" t="s">
        <v>799</v>
      </c>
      <c r="D985" s="1" t="s">
        <v>1333</v>
      </c>
    </row>
    <row r="986" spans="1:4">
      <c r="A986" s="1" t="s">
        <v>347</v>
      </c>
      <c r="B986" s="1" t="s">
        <v>798</v>
      </c>
      <c r="C986" s="1" t="s">
        <v>799</v>
      </c>
      <c r="D986" s="1" t="s">
        <v>1334</v>
      </c>
    </row>
    <row r="987" spans="1:4">
      <c r="A987" s="1" t="s">
        <v>348</v>
      </c>
      <c r="B987" s="1" t="s">
        <v>794</v>
      </c>
      <c r="C987" s="1" t="s">
        <v>799</v>
      </c>
      <c r="D987" s="1" t="s">
        <v>1335</v>
      </c>
    </row>
    <row r="988" spans="1:4">
      <c r="A988" s="1" t="s">
        <v>348</v>
      </c>
      <c r="B988" s="1" t="s">
        <v>795</v>
      </c>
      <c r="C988" s="1" t="s">
        <v>799</v>
      </c>
      <c r="D988" s="1" t="s">
        <v>802</v>
      </c>
    </row>
    <row r="989" spans="1:4">
      <c r="A989" s="1" t="s">
        <v>348</v>
      </c>
      <c r="B989" s="1" t="s">
        <v>796</v>
      </c>
      <c r="C989" s="1" t="s">
        <v>799</v>
      </c>
    </row>
    <row r="990" spans="1:4">
      <c r="A990" s="1" t="s">
        <v>348</v>
      </c>
      <c r="B990" s="1" t="s">
        <v>797</v>
      </c>
      <c r="C990" s="1" t="s">
        <v>799</v>
      </c>
      <c r="D990" s="1" t="s">
        <v>1336</v>
      </c>
    </row>
    <row r="991" spans="1:4">
      <c r="A991" s="1" t="s">
        <v>348</v>
      </c>
      <c r="B991" s="1" t="s">
        <v>798</v>
      </c>
      <c r="C991" s="1" t="s">
        <v>799</v>
      </c>
      <c r="D991" s="1" t="s">
        <v>1337</v>
      </c>
    </row>
    <row r="992" spans="1:4">
      <c r="A992" s="1" t="s">
        <v>349</v>
      </c>
      <c r="B992" s="1" t="s">
        <v>794</v>
      </c>
      <c r="C992" s="1" t="s">
        <v>799</v>
      </c>
      <c r="D992" s="1" t="s">
        <v>1338</v>
      </c>
    </row>
    <row r="993" spans="1:4">
      <c r="A993" s="1" t="s">
        <v>349</v>
      </c>
      <c r="B993" s="1" t="s">
        <v>795</v>
      </c>
      <c r="C993" s="1" t="s">
        <v>799</v>
      </c>
      <c r="D993" s="1" t="s">
        <v>802</v>
      </c>
    </row>
    <row r="994" spans="1:4">
      <c r="A994" s="1" t="s">
        <v>349</v>
      </c>
      <c r="B994" s="1" t="s">
        <v>796</v>
      </c>
      <c r="C994" s="1" t="s">
        <v>799</v>
      </c>
    </row>
    <row r="995" spans="1:4">
      <c r="A995" s="1" t="s">
        <v>349</v>
      </c>
      <c r="B995" s="1" t="s">
        <v>797</v>
      </c>
      <c r="C995" s="1" t="s">
        <v>799</v>
      </c>
      <c r="D995" s="1" t="s">
        <v>1339</v>
      </c>
    </row>
    <row r="996" spans="1:4">
      <c r="A996" s="1" t="s">
        <v>349</v>
      </c>
      <c r="B996" s="1" t="s">
        <v>798</v>
      </c>
      <c r="C996" s="1" t="s">
        <v>799</v>
      </c>
      <c r="D996" s="1" t="s">
        <v>1340</v>
      </c>
    </row>
    <row r="997" spans="1:4">
      <c r="A997" s="1" t="s">
        <v>350</v>
      </c>
      <c r="B997" s="1" t="s">
        <v>794</v>
      </c>
      <c r="C997" s="1" t="s">
        <v>799</v>
      </c>
      <c r="D997" s="1" t="s">
        <v>1341</v>
      </c>
    </row>
    <row r="998" spans="1:4">
      <c r="A998" s="1" t="s">
        <v>350</v>
      </c>
      <c r="B998" s="1" t="s">
        <v>795</v>
      </c>
      <c r="C998" s="1" t="s">
        <v>799</v>
      </c>
      <c r="D998" s="1" t="s">
        <v>802</v>
      </c>
    </row>
    <row r="999" spans="1:4">
      <c r="A999" s="1" t="s">
        <v>350</v>
      </c>
      <c r="B999" s="1" t="s">
        <v>796</v>
      </c>
      <c r="C999" s="1" t="s">
        <v>799</v>
      </c>
    </row>
    <row r="1000" spans="1:4">
      <c r="A1000" s="1" t="s">
        <v>350</v>
      </c>
      <c r="B1000" s="1" t="s">
        <v>797</v>
      </c>
      <c r="C1000" s="1" t="s">
        <v>799</v>
      </c>
      <c r="D1000" s="1" t="s">
        <v>1342</v>
      </c>
    </row>
    <row r="1001" spans="1:4">
      <c r="A1001" s="1" t="s">
        <v>350</v>
      </c>
      <c r="B1001" s="1" t="s">
        <v>798</v>
      </c>
      <c r="C1001" s="1" t="s">
        <v>799</v>
      </c>
      <c r="D1001" s="1" t="s">
        <v>1343</v>
      </c>
    </row>
    <row r="1002" spans="1:4">
      <c r="A1002" s="1" t="s">
        <v>351</v>
      </c>
      <c r="B1002" s="1" t="s">
        <v>794</v>
      </c>
      <c r="C1002" s="1" t="s">
        <v>799</v>
      </c>
      <c r="D1002" s="1" t="s">
        <v>1344</v>
      </c>
    </row>
    <row r="1003" spans="1:4">
      <c r="A1003" s="1" t="s">
        <v>351</v>
      </c>
      <c r="B1003" s="1" t="s">
        <v>795</v>
      </c>
      <c r="C1003" s="1" t="s">
        <v>799</v>
      </c>
      <c r="D1003" s="1" t="s">
        <v>802</v>
      </c>
    </row>
    <row r="1004" spans="1:4">
      <c r="A1004" s="1" t="s">
        <v>351</v>
      </c>
      <c r="B1004" s="1" t="s">
        <v>796</v>
      </c>
      <c r="C1004" s="1" t="s">
        <v>799</v>
      </c>
    </row>
    <row r="1005" spans="1:4">
      <c r="A1005" s="1" t="s">
        <v>351</v>
      </c>
      <c r="B1005" s="1" t="s">
        <v>797</v>
      </c>
      <c r="C1005" s="1" t="s">
        <v>799</v>
      </c>
      <c r="D1005" s="1" t="s">
        <v>1345</v>
      </c>
    </row>
    <row r="1006" spans="1:4">
      <c r="A1006" s="1" t="s">
        <v>351</v>
      </c>
      <c r="B1006" s="1" t="s">
        <v>798</v>
      </c>
      <c r="C1006" s="1" t="s">
        <v>799</v>
      </c>
      <c r="D1006" s="1" t="s">
        <v>1346</v>
      </c>
    </row>
    <row r="1007" spans="1:4">
      <c r="A1007" s="1" t="s">
        <v>352</v>
      </c>
      <c r="B1007" s="1" t="s">
        <v>794</v>
      </c>
      <c r="C1007" s="1" t="s">
        <v>799</v>
      </c>
      <c r="D1007" s="1" t="s">
        <v>1347</v>
      </c>
    </row>
    <row r="1008" spans="1:4">
      <c r="A1008" s="1" t="s">
        <v>352</v>
      </c>
      <c r="B1008" s="1" t="s">
        <v>795</v>
      </c>
      <c r="C1008" s="1" t="s">
        <v>799</v>
      </c>
      <c r="D1008" s="1" t="s">
        <v>802</v>
      </c>
    </row>
    <row r="1009" spans="1:4">
      <c r="A1009" s="1" t="s">
        <v>352</v>
      </c>
      <c r="B1009" s="1" t="s">
        <v>796</v>
      </c>
      <c r="C1009" s="1" t="s">
        <v>799</v>
      </c>
    </row>
    <row r="1010" spans="1:4">
      <c r="A1010" s="1" t="s">
        <v>352</v>
      </c>
      <c r="B1010" s="1" t="s">
        <v>797</v>
      </c>
      <c r="C1010" s="1" t="s">
        <v>799</v>
      </c>
      <c r="D1010" s="1" t="s">
        <v>1348</v>
      </c>
    </row>
    <row r="1011" spans="1:4">
      <c r="A1011" s="1" t="s">
        <v>352</v>
      </c>
      <c r="B1011" s="1" t="s">
        <v>798</v>
      </c>
      <c r="C1011" s="1" t="s">
        <v>799</v>
      </c>
      <c r="D1011" s="1" t="s">
        <v>1349</v>
      </c>
    </row>
    <row r="1012" spans="1:4">
      <c r="A1012" s="1" t="s">
        <v>353</v>
      </c>
      <c r="B1012" s="1" t="s">
        <v>794</v>
      </c>
      <c r="C1012" s="1" t="s">
        <v>799</v>
      </c>
      <c r="D1012" s="1" t="s">
        <v>1350</v>
      </c>
    </row>
    <row r="1013" spans="1:4">
      <c r="A1013" s="1" t="s">
        <v>353</v>
      </c>
      <c r="B1013" s="1" t="s">
        <v>795</v>
      </c>
      <c r="C1013" s="1" t="s">
        <v>799</v>
      </c>
      <c r="D1013" s="1" t="s">
        <v>802</v>
      </c>
    </row>
    <row r="1014" spans="1:4">
      <c r="A1014" s="1" t="s">
        <v>353</v>
      </c>
      <c r="B1014" s="1" t="s">
        <v>796</v>
      </c>
      <c r="C1014" s="1" t="s">
        <v>799</v>
      </c>
    </row>
    <row r="1015" spans="1:4">
      <c r="A1015" s="1" t="s">
        <v>353</v>
      </c>
      <c r="B1015" s="1" t="s">
        <v>797</v>
      </c>
      <c r="C1015" s="1" t="s">
        <v>799</v>
      </c>
      <c r="D1015" s="1" t="s">
        <v>1351</v>
      </c>
    </row>
    <row r="1016" spans="1:4">
      <c r="A1016" s="1" t="s">
        <v>353</v>
      </c>
      <c r="B1016" s="1" t="s">
        <v>798</v>
      </c>
      <c r="C1016" s="1" t="s">
        <v>799</v>
      </c>
      <c r="D1016" s="1" t="s">
        <v>1352</v>
      </c>
    </row>
    <row r="1017" spans="1:4">
      <c r="A1017" s="1" t="s">
        <v>354</v>
      </c>
      <c r="B1017" s="1" t="s">
        <v>794</v>
      </c>
      <c r="C1017" s="1" t="s">
        <v>799</v>
      </c>
      <c r="D1017" s="1" t="s">
        <v>1353</v>
      </c>
    </row>
    <row r="1018" spans="1:4">
      <c r="A1018" s="1" t="s">
        <v>354</v>
      </c>
      <c r="B1018" s="1" t="s">
        <v>795</v>
      </c>
      <c r="C1018" s="1" t="s">
        <v>799</v>
      </c>
      <c r="D1018" s="1" t="s">
        <v>802</v>
      </c>
    </row>
    <row r="1019" spans="1:4">
      <c r="A1019" s="1" t="s">
        <v>354</v>
      </c>
      <c r="B1019" s="1" t="s">
        <v>796</v>
      </c>
      <c r="C1019" s="1" t="s">
        <v>799</v>
      </c>
    </row>
    <row r="1020" spans="1:4">
      <c r="A1020" s="1" t="s">
        <v>354</v>
      </c>
      <c r="B1020" s="1" t="s">
        <v>797</v>
      </c>
      <c r="C1020" s="1" t="s">
        <v>799</v>
      </c>
      <c r="D1020" s="1" t="s">
        <v>1354</v>
      </c>
    </row>
    <row r="1021" spans="1:4">
      <c r="A1021" s="1" t="s">
        <v>354</v>
      </c>
      <c r="B1021" s="1" t="s">
        <v>798</v>
      </c>
      <c r="C1021" s="1" t="s">
        <v>799</v>
      </c>
      <c r="D1021" s="1" t="s">
        <v>1355</v>
      </c>
    </row>
    <row r="1022" spans="1:4">
      <c r="A1022" s="1" t="s">
        <v>355</v>
      </c>
      <c r="B1022" s="1" t="s">
        <v>794</v>
      </c>
      <c r="C1022" s="1" t="s">
        <v>799</v>
      </c>
      <c r="D1022" s="1" t="s">
        <v>1356</v>
      </c>
    </row>
    <row r="1023" spans="1:4">
      <c r="A1023" s="1" t="s">
        <v>355</v>
      </c>
      <c r="B1023" s="1" t="s">
        <v>795</v>
      </c>
      <c r="C1023" s="1" t="s">
        <v>799</v>
      </c>
      <c r="D1023" s="1" t="s">
        <v>802</v>
      </c>
    </row>
    <row r="1024" spans="1:4">
      <c r="A1024" s="1" t="s">
        <v>355</v>
      </c>
      <c r="B1024" s="1" t="s">
        <v>796</v>
      </c>
      <c r="C1024" s="1" t="s">
        <v>799</v>
      </c>
    </row>
    <row r="1025" spans="1:4">
      <c r="A1025" s="1" t="s">
        <v>355</v>
      </c>
      <c r="B1025" s="1" t="s">
        <v>797</v>
      </c>
      <c r="C1025" s="1" t="s">
        <v>799</v>
      </c>
      <c r="D1025" s="1" t="s">
        <v>1357</v>
      </c>
    </row>
    <row r="1026" spans="1:4">
      <c r="A1026" s="1" t="s">
        <v>355</v>
      </c>
      <c r="B1026" s="1" t="s">
        <v>798</v>
      </c>
      <c r="C1026" s="1" t="s">
        <v>799</v>
      </c>
      <c r="D1026" s="1" t="s">
        <v>1358</v>
      </c>
    </row>
    <row r="1027" spans="1:4">
      <c r="A1027" s="1" t="s">
        <v>356</v>
      </c>
      <c r="B1027" s="1" t="s">
        <v>794</v>
      </c>
      <c r="C1027" s="1" t="s">
        <v>799</v>
      </c>
      <c r="D1027" s="1" t="s">
        <v>1359</v>
      </c>
    </row>
    <row r="1028" spans="1:4">
      <c r="A1028" s="1" t="s">
        <v>356</v>
      </c>
      <c r="B1028" s="1" t="s">
        <v>795</v>
      </c>
      <c r="C1028" s="1" t="s">
        <v>799</v>
      </c>
      <c r="D1028" s="1" t="s">
        <v>802</v>
      </c>
    </row>
    <row r="1029" spans="1:4">
      <c r="A1029" s="1" t="s">
        <v>356</v>
      </c>
      <c r="B1029" s="1" t="s">
        <v>796</v>
      </c>
      <c r="C1029" s="1" t="s">
        <v>799</v>
      </c>
    </row>
    <row r="1030" spans="1:4">
      <c r="A1030" s="1" t="s">
        <v>356</v>
      </c>
      <c r="B1030" s="1" t="s">
        <v>797</v>
      </c>
      <c r="C1030" s="1" t="s">
        <v>799</v>
      </c>
      <c r="D1030" s="1" t="s">
        <v>1360</v>
      </c>
    </row>
    <row r="1031" spans="1:4">
      <c r="A1031" s="1" t="s">
        <v>356</v>
      </c>
      <c r="B1031" s="1" t="s">
        <v>798</v>
      </c>
      <c r="C1031" s="1" t="s">
        <v>799</v>
      </c>
      <c r="D1031" s="1" t="s">
        <v>1361</v>
      </c>
    </row>
    <row r="1032" spans="1:4">
      <c r="A1032" s="1" t="s">
        <v>357</v>
      </c>
      <c r="B1032" s="1" t="s">
        <v>794</v>
      </c>
      <c r="C1032" s="1" t="s">
        <v>799</v>
      </c>
      <c r="D1032" s="1" t="s">
        <v>1362</v>
      </c>
    </row>
    <row r="1033" spans="1:4">
      <c r="A1033" s="1" t="s">
        <v>357</v>
      </c>
      <c r="B1033" s="1" t="s">
        <v>795</v>
      </c>
      <c r="C1033" s="1" t="s">
        <v>799</v>
      </c>
      <c r="D1033" s="1" t="s">
        <v>802</v>
      </c>
    </row>
    <row r="1034" spans="1:4">
      <c r="A1034" s="1" t="s">
        <v>357</v>
      </c>
      <c r="B1034" s="1" t="s">
        <v>796</v>
      </c>
      <c r="C1034" s="1" t="s">
        <v>799</v>
      </c>
    </row>
    <row r="1035" spans="1:4">
      <c r="A1035" s="1" t="s">
        <v>357</v>
      </c>
      <c r="B1035" s="1" t="s">
        <v>797</v>
      </c>
      <c r="C1035" s="1" t="s">
        <v>799</v>
      </c>
      <c r="D1035" s="1" t="s">
        <v>1363</v>
      </c>
    </row>
    <row r="1036" spans="1:4">
      <c r="A1036" s="1" t="s">
        <v>357</v>
      </c>
      <c r="B1036" s="1" t="s">
        <v>798</v>
      </c>
      <c r="C1036" s="1" t="s">
        <v>799</v>
      </c>
      <c r="D1036" s="1" t="s">
        <v>1364</v>
      </c>
    </row>
    <row r="1037" spans="1:4">
      <c r="A1037" s="1" t="s">
        <v>358</v>
      </c>
      <c r="B1037" s="1" t="s">
        <v>794</v>
      </c>
      <c r="C1037" s="1" t="s">
        <v>799</v>
      </c>
      <c r="D1037" s="1" t="s">
        <v>1365</v>
      </c>
    </row>
    <row r="1038" spans="1:4">
      <c r="A1038" s="1" t="s">
        <v>358</v>
      </c>
      <c r="B1038" s="1" t="s">
        <v>795</v>
      </c>
      <c r="C1038" s="1" t="s">
        <v>799</v>
      </c>
      <c r="D1038" s="1" t="s">
        <v>802</v>
      </c>
    </row>
    <row r="1039" spans="1:4">
      <c r="A1039" s="1" t="s">
        <v>358</v>
      </c>
      <c r="B1039" s="1" t="s">
        <v>796</v>
      </c>
      <c r="C1039" s="1" t="s">
        <v>799</v>
      </c>
    </row>
    <row r="1040" spans="1:4">
      <c r="A1040" s="1" t="s">
        <v>358</v>
      </c>
      <c r="B1040" s="1" t="s">
        <v>797</v>
      </c>
      <c r="C1040" s="1" t="s">
        <v>799</v>
      </c>
      <c r="D1040" s="1" t="s">
        <v>1366</v>
      </c>
    </row>
    <row r="1041" spans="1:4">
      <c r="A1041" s="1" t="s">
        <v>358</v>
      </c>
      <c r="B1041" s="1" t="s">
        <v>798</v>
      </c>
      <c r="C1041" s="1" t="s">
        <v>799</v>
      </c>
      <c r="D1041" s="1" t="s">
        <v>1367</v>
      </c>
    </row>
    <row r="1042" spans="1:4">
      <c r="A1042" s="1" t="s">
        <v>359</v>
      </c>
      <c r="B1042" s="1" t="s">
        <v>794</v>
      </c>
      <c r="C1042" s="1" t="s">
        <v>799</v>
      </c>
      <c r="D1042" s="1" t="s">
        <v>1368</v>
      </c>
    </row>
    <row r="1043" spans="1:4">
      <c r="A1043" s="1" t="s">
        <v>359</v>
      </c>
      <c r="B1043" s="1" t="s">
        <v>795</v>
      </c>
      <c r="C1043" s="1" t="s">
        <v>799</v>
      </c>
      <c r="D1043" s="1" t="s">
        <v>802</v>
      </c>
    </row>
    <row r="1044" spans="1:4">
      <c r="A1044" s="1" t="s">
        <v>359</v>
      </c>
      <c r="B1044" s="1" t="s">
        <v>796</v>
      </c>
      <c r="C1044" s="1" t="s">
        <v>799</v>
      </c>
    </row>
    <row r="1045" spans="1:4">
      <c r="A1045" s="1" t="s">
        <v>359</v>
      </c>
      <c r="B1045" s="1" t="s">
        <v>797</v>
      </c>
      <c r="C1045" s="1" t="s">
        <v>799</v>
      </c>
      <c r="D1045" s="1" t="s">
        <v>1369</v>
      </c>
    </row>
    <row r="1046" spans="1:4">
      <c r="A1046" s="1" t="s">
        <v>359</v>
      </c>
      <c r="B1046" s="1" t="s">
        <v>798</v>
      </c>
      <c r="C1046" s="1" t="s">
        <v>799</v>
      </c>
      <c r="D1046" s="1" t="s">
        <v>1370</v>
      </c>
    </row>
    <row r="1047" spans="1:4">
      <c r="A1047" s="1" t="s">
        <v>360</v>
      </c>
      <c r="B1047" s="1" t="s">
        <v>794</v>
      </c>
      <c r="C1047" s="1" t="s">
        <v>799</v>
      </c>
      <c r="D1047" s="1" t="s">
        <v>1371</v>
      </c>
    </row>
    <row r="1048" spans="1:4">
      <c r="A1048" s="1" t="s">
        <v>360</v>
      </c>
      <c r="B1048" s="1" t="s">
        <v>795</v>
      </c>
      <c r="C1048" s="1" t="s">
        <v>799</v>
      </c>
      <c r="D1048" s="1" t="s">
        <v>802</v>
      </c>
    </row>
    <row r="1049" spans="1:4">
      <c r="A1049" s="1" t="s">
        <v>360</v>
      </c>
      <c r="B1049" s="1" t="s">
        <v>796</v>
      </c>
      <c r="C1049" s="1" t="s">
        <v>799</v>
      </c>
    </row>
    <row r="1050" spans="1:4">
      <c r="A1050" s="1" t="s">
        <v>360</v>
      </c>
      <c r="B1050" s="1" t="s">
        <v>797</v>
      </c>
      <c r="C1050" s="1" t="s">
        <v>799</v>
      </c>
      <c r="D1050" s="1" t="s">
        <v>1372</v>
      </c>
    </row>
    <row r="1051" spans="1:4">
      <c r="A1051" s="1" t="s">
        <v>360</v>
      </c>
      <c r="B1051" s="1" t="s">
        <v>798</v>
      </c>
      <c r="C1051" s="1" t="s">
        <v>799</v>
      </c>
      <c r="D1051" s="1" t="s">
        <v>1373</v>
      </c>
    </row>
    <row r="1052" spans="1:4">
      <c r="A1052" s="1" t="s">
        <v>361</v>
      </c>
      <c r="B1052" s="1" t="s">
        <v>794</v>
      </c>
      <c r="C1052" s="1" t="s">
        <v>799</v>
      </c>
      <c r="D1052" s="1" t="s">
        <v>1374</v>
      </c>
    </row>
    <row r="1053" spans="1:4">
      <c r="A1053" s="1" t="s">
        <v>361</v>
      </c>
      <c r="B1053" s="1" t="s">
        <v>795</v>
      </c>
      <c r="C1053" s="1" t="s">
        <v>799</v>
      </c>
      <c r="D1053" s="1" t="s">
        <v>802</v>
      </c>
    </row>
    <row r="1054" spans="1:4">
      <c r="A1054" s="1" t="s">
        <v>361</v>
      </c>
      <c r="B1054" s="1" t="s">
        <v>796</v>
      </c>
      <c r="C1054" s="1" t="s">
        <v>799</v>
      </c>
    </row>
    <row r="1055" spans="1:4">
      <c r="A1055" s="1" t="s">
        <v>361</v>
      </c>
      <c r="B1055" s="1" t="s">
        <v>797</v>
      </c>
      <c r="C1055" s="1" t="s">
        <v>799</v>
      </c>
      <c r="D1055" s="1" t="s">
        <v>1375</v>
      </c>
    </row>
    <row r="1056" spans="1:4">
      <c r="A1056" s="1" t="s">
        <v>361</v>
      </c>
      <c r="B1056" s="1" t="s">
        <v>798</v>
      </c>
      <c r="C1056" s="1" t="s">
        <v>799</v>
      </c>
      <c r="D1056" s="1" t="s">
        <v>1376</v>
      </c>
    </row>
    <row r="1057" spans="1:4">
      <c r="A1057" s="1" t="s">
        <v>362</v>
      </c>
      <c r="B1057" s="1" t="s">
        <v>794</v>
      </c>
      <c r="C1057" s="1" t="s">
        <v>799</v>
      </c>
      <c r="D1057" s="1" t="s">
        <v>1377</v>
      </c>
    </row>
    <row r="1058" spans="1:4">
      <c r="A1058" s="1" t="s">
        <v>362</v>
      </c>
      <c r="B1058" s="1" t="s">
        <v>795</v>
      </c>
      <c r="C1058" s="1" t="s">
        <v>799</v>
      </c>
      <c r="D1058" s="1" t="s">
        <v>802</v>
      </c>
    </row>
    <row r="1059" spans="1:4">
      <c r="A1059" s="1" t="s">
        <v>362</v>
      </c>
      <c r="B1059" s="1" t="s">
        <v>796</v>
      </c>
      <c r="C1059" s="1" t="s">
        <v>799</v>
      </c>
    </row>
    <row r="1060" spans="1:4">
      <c r="A1060" s="1" t="s">
        <v>362</v>
      </c>
      <c r="B1060" s="1" t="s">
        <v>797</v>
      </c>
      <c r="C1060" s="1" t="s">
        <v>799</v>
      </c>
      <c r="D1060" s="1" t="s">
        <v>1378</v>
      </c>
    </row>
    <row r="1061" spans="1:4">
      <c r="A1061" s="1" t="s">
        <v>362</v>
      </c>
      <c r="B1061" s="1" t="s">
        <v>798</v>
      </c>
      <c r="C1061" s="1" t="s">
        <v>799</v>
      </c>
      <c r="D1061" s="1" t="s">
        <v>1379</v>
      </c>
    </row>
    <row r="1062" spans="1:4">
      <c r="A1062" s="1" t="s">
        <v>363</v>
      </c>
      <c r="B1062" s="1" t="s">
        <v>794</v>
      </c>
      <c r="C1062" s="1" t="s">
        <v>799</v>
      </c>
      <c r="D1062" s="1" t="s">
        <v>1380</v>
      </c>
    </row>
    <row r="1063" spans="1:4">
      <c r="A1063" s="1" t="s">
        <v>363</v>
      </c>
      <c r="B1063" s="1" t="s">
        <v>795</v>
      </c>
      <c r="C1063" s="1" t="s">
        <v>799</v>
      </c>
      <c r="D1063" s="1" t="s">
        <v>802</v>
      </c>
    </row>
    <row r="1064" spans="1:4">
      <c r="A1064" s="1" t="s">
        <v>363</v>
      </c>
      <c r="B1064" s="1" t="s">
        <v>796</v>
      </c>
      <c r="C1064" s="1" t="s">
        <v>799</v>
      </c>
    </row>
    <row r="1065" spans="1:4">
      <c r="A1065" s="1" t="s">
        <v>363</v>
      </c>
      <c r="B1065" s="1" t="s">
        <v>797</v>
      </c>
      <c r="C1065" s="1" t="s">
        <v>799</v>
      </c>
      <c r="D1065" s="1" t="s">
        <v>1381</v>
      </c>
    </row>
    <row r="1066" spans="1:4">
      <c r="A1066" s="1" t="s">
        <v>363</v>
      </c>
      <c r="B1066" s="1" t="s">
        <v>798</v>
      </c>
      <c r="C1066" s="1" t="s">
        <v>799</v>
      </c>
      <c r="D1066" s="1" t="s">
        <v>1286</v>
      </c>
    </row>
    <row r="1067" spans="1:4">
      <c r="A1067" s="1" t="s">
        <v>364</v>
      </c>
      <c r="B1067" s="1" t="s">
        <v>794</v>
      </c>
      <c r="C1067" s="1" t="s">
        <v>799</v>
      </c>
      <c r="D1067" s="1" t="s">
        <v>1382</v>
      </c>
    </row>
    <row r="1068" spans="1:4">
      <c r="A1068" s="1" t="s">
        <v>364</v>
      </c>
      <c r="B1068" s="1" t="s">
        <v>795</v>
      </c>
      <c r="C1068" s="1" t="s">
        <v>799</v>
      </c>
      <c r="D1068" s="1" t="s">
        <v>802</v>
      </c>
    </row>
    <row r="1069" spans="1:4">
      <c r="A1069" s="1" t="s">
        <v>364</v>
      </c>
      <c r="B1069" s="1" t="s">
        <v>796</v>
      </c>
      <c r="C1069" s="1" t="s">
        <v>799</v>
      </c>
    </row>
    <row r="1070" spans="1:4">
      <c r="A1070" s="1" t="s">
        <v>364</v>
      </c>
      <c r="B1070" s="1" t="s">
        <v>797</v>
      </c>
      <c r="C1070" s="1" t="s">
        <v>799</v>
      </c>
      <c r="D1070" s="1" t="s">
        <v>1383</v>
      </c>
    </row>
    <row r="1071" spans="1:4">
      <c r="A1071" s="1" t="s">
        <v>364</v>
      </c>
      <c r="B1071" s="1" t="s">
        <v>798</v>
      </c>
      <c r="C1071" s="1" t="s">
        <v>799</v>
      </c>
      <c r="D1071" s="1" t="s">
        <v>1384</v>
      </c>
    </row>
    <row r="1072" spans="1:4">
      <c r="A1072" s="1" t="s">
        <v>365</v>
      </c>
      <c r="B1072" s="1" t="s">
        <v>794</v>
      </c>
      <c r="C1072" s="1" t="s">
        <v>799</v>
      </c>
      <c r="D1072" s="1" t="s">
        <v>1385</v>
      </c>
    </row>
    <row r="1073" spans="1:4">
      <c r="A1073" s="1" t="s">
        <v>365</v>
      </c>
      <c r="B1073" s="1" t="s">
        <v>795</v>
      </c>
      <c r="C1073" s="1" t="s">
        <v>799</v>
      </c>
      <c r="D1073" s="1" t="s">
        <v>802</v>
      </c>
    </row>
    <row r="1074" spans="1:4">
      <c r="A1074" s="1" t="s">
        <v>365</v>
      </c>
      <c r="B1074" s="1" t="s">
        <v>796</v>
      </c>
      <c r="C1074" s="1" t="s">
        <v>799</v>
      </c>
    </row>
    <row r="1075" spans="1:4">
      <c r="A1075" s="1" t="s">
        <v>365</v>
      </c>
      <c r="B1075" s="1" t="s">
        <v>797</v>
      </c>
      <c r="C1075" s="1" t="s">
        <v>799</v>
      </c>
      <c r="D1075" s="1" t="s">
        <v>1386</v>
      </c>
    </row>
    <row r="1076" spans="1:4">
      <c r="A1076" s="1" t="s">
        <v>365</v>
      </c>
      <c r="B1076" s="1" t="s">
        <v>798</v>
      </c>
      <c r="C1076" s="1" t="s">
        <v>799</v>
      </c>
      <c r="D1076" s="1" t="s">
        <v>1387</v>
      </c>
    </row>
    <row r="1077" spans="1:4">
      <c r="A1077" s="1" t="s">
        <v>366</v>
      </c>
      <c r="B1077" s="1" t="s">
        <v>794</v>
      </c>
      <c r="C1077" s="1" t="s">
        <v>799</v>
      </c>
      <c r="D1077" s="1" t="s">
        <v>1388</v>
      </c>
    </row>
    <row r="1078" spans="1:4">
      <c r="A1078" s="1" t="s">
        <v>366</v>
      </c>
      <c r="B1078" s="1" t="s">
        <v>795</v>
      </c>
      <c r="C1078" s="1" t="s">
        <v>799</v>
      </c>
      <c r="D1078" s="1" t="s">
        <v>802</v>
      </c>
    </row>
    <row r="1079" spans="1:4">
      <c r="A1079" s="1" t="s">
        <v>366</v>
      </c>
      <c r="B1079" s="1" t="s">
        <v>796</v>
      </c>
      <c r="C1079" s="1" t="s">
        <v>799</v>
      </c>
    </row>
    <row r="1080" spans="1:4">
      <c r="A1080" s="1" t="s">
        <v>366</v>
      </c>
      <c r="B1080" s="1" t="s">
        <v>797</v>
      </c>
      <c r="C1080" s="1" t="s">
        <v>799</v>
      </c>
      <c r="D1080" s="1" t="s">
        <v>1389</v>
      </c>
    </row>
    <row r="1081" spans="1:4">
      <c r="A1081" s="1" t="s">
        <v>366</v>
      </c>
      <c r="B1081" s="1" t="s">
        <v>798</v>
      </c>
      <c r="C1081" s="1" t="s">
        <v>799</v>
      </c>
      <c r="D1081" s="1" t="s">
        <v>1295</v>
      </c>
    </row>
    <row r="1082" spans="1:4">
      <c r="A1082" s="1" t="s">
        <v>367</v>
      </c>
      <c r="B1082" s="1" t="s">
        <v>794</v>
      </c>
      <c r="C1082" s="1" t="s">
        <v>799</v>
      </c>
      <c r="D1082" s="1" t="s">
        <v>1390</v>
      </c>
    </row>
    <row r="1083" spans="1:4">
      <c r="A1083" s="1" t="s">
        <v>367</v>
      </c>
      <c r="B1083" s="1" t="s">
        <v>795</v>
      </c>
      <c r="C1083" s="1" t="s">
        <v>799</v>
      </c>
      <c r="D1083" s="1" t="s">
        <v>802</v>
      </c>
    </row>
    <row r="1084" spans="1:4">
      <c r="A1084" s="1" t="s">
        <v>367</v>
      </c>
      <c r="B1084" s="1" t="s">
        <v>796</v>
      </c>
      <c r="C1084" s="1" t="s">
        <v>799</v>
      </c>
    </row>
    <row r="1085" spans="1:4">
      <c r="A1085" s="1" t="s">
        <v>367</v>
      </c>
      <c r="B1085" s="1" t="s">
        <v>797</v>
      </c>
      <c r="C1085" s="1" t="s">
        <v>800</v>
      </c>
      <c r="D1085" s="1" t="s">
        <v>1391</v>
      </c>
    </row>
    <row r="1086" spans="1:4">
      <c r="A1086" s="1" t="s">
        <v>367</v>
      </c>
      <c r="B1086" s="1" t="s">
        <v>798</v>
      </c>
      <c r="C1086" s="1" t="s">
        <v>799</v>
      </c>
      <c r="D1086" s="1" t="s">
        <v>1298</v>
      </c>
    </row>
    <row r="1087" spans="1:4">
      <c r="A1087" s="1" t="s">
        <v>368</v>
      </c>
      <c r="B1087" s="1" t="s">
        <v>794</v>
      </c>
      <c r="C1087" s="1" t="s">
        <v>799</v>
      </c>
      <c r="D1087" s="1" t="s">
        <v>1299</v>
      </c>
    </row>
    <row r="1088" spans="1:4">
      <c r="A1088" s="1" t="s">
        <v>368</v>
      </c>
      <c r="B1088" s="1" t="s">
        <v>795</v>
      </c>
      <c r="C1088" s="1" t="s">
        <v>799</v>
      </c>
      <c r="D1088" s="1" t="s">
        <v>802</v>
      </c>
    </row>
    <row r="1089" spans="1:4">
      <c r="A1089" s="1" t="s">
        <v>368</v>
      </c>
      <c r="B1089" s="1" t="s">
        <v>796</v>
      </c>
      <c r="C1089" s="1" t="s">
        <v>799</v>
      </c>
    </row>
    <row r="1090" spans="1:4">
      <c r="A1090" s="1" t="s">
        <v>368</v>
      </c>
      <c r="B1090" s="1" t="s">
        <v>797</v>
      </c>
      <c r="C1090" s="1" t="s">
        <v>799</v>
      </c>
      <c r="D1090" s="1" t="s">
        <v>1392</v>
      </c>
    </row>
    <row r="1091" spans="1:4">
      <c r="A1091" s="1" t="s">
        <v>368</v>
      </c>
      <c r="B1091" s="1" t="s">
        <v>798</v>
      </c>
      <c r="C1091" s="1" t="s">
        <v>799</v>
      </c>
      <c r="D1091" s="1" t="s">
        <v>1301</v>
      </c>
    </row>
    <row r="1092" spans="1:4">
      <c r="A1092" s="1" t="s">
        <v>369</v>
      </c>
      <c r="B1092" s="1" t="s">
        <v>794</v>
      </c>
      <c r="C1092" s="1" t="s">
        <v>799</v>
      </c>
      <c r="D1092" s="1" t="s">
        <v>1302</v>
      </c>
    </row>
    <row r="1093" spans="1:4">
      <c r="A1093" s="1" t="s">
        <v>369</v>
      </c>
      <c r="B1093" s="1" t="s">
        <v>795</v>
      </c>
      <c r="C1093" s="1" t="s">
        <v>799</v>
      </c>
      <c r="D1093" s="1" t="s">
        <v>802</v>
      </c>
    </row>
    <row r="1094" spans="1:4">
      <c r="A1094" s="1" t="s">
        <v>369</v>
      </c>
      <c r="B1094" s="1" t="s">
        <v>796</v>
      </c>
      <c r="C1094" s="1" t="s">
        <v>799</v>
      </c>
    </row>
    <row r="1095" spans="1:4">
      <c r="A1095" s="1" t="s">
        <v>369</v>
      </c>
      <c r="B1095" s="1" t="s">
        <v>797</v>
      </c>
      <c r="C1095" s="1" t="s">
        <v>799</v>
      </c>
      <c r="D1095" s="1" t="s">
        <v>1393</v>
      </c>
    </row>
    <row r="1096" spans="1:4">
      <c r="A1096" s="1" t="s">
        <v>369</v>
      </c>
      <c r="B1096" s="1" t="s">
        <v>798</v>
      </c>
      <c r="C1096" s="1" t="s">
        <v>799</v>
      </c>
      <c r="D1096" s="1" t="s">
        <v>1304</v>
      </c>
    </row>
    <row r="1097" spans="1:4">
      <c r="A1097" s="1" t="s">
        <v>370</v>
      </c>
      <c r="B1097" s="1" t="s">
        <v>794</v>
      </c>
      <c r="C1097" s="1" t="s">
        <v>799</v>
      </c>
      <c r="D1097" s="1" t="s">
        <v>1394</v>
      </c>
    </row>
    <row r="1098" spans="1:4">
      <c r="A1098" s="1" t="s">
        <v>370</v>
      </c>
      <c r="B1098" s="1" t="s">
        <v>795</v>
      </c>
      <c r="C1098" s="1" t="s">
        <v>799</v>
      </c>
      <c r="D1098" s="1" t="s">
        <v>802</v>
      </c>
    </row>
    <row r="1099" spans="1:4">
      <c r="A1099" s="1" t="s">
        <v>370</v>
      </c>
      <c r="B1099" s="1" t="s">
        <v>796</v>
      </c>
      <c r="C1099" s="1" t="s">
        <v>799</v>
      </c>
    </row>
    <row r="1100" spans="1:4">
      <c r="A1100" s="1" t="s">
        <v>370</v>
      </c>
      <c r="B1100" s="1" t="s">
        <v>797</v>
      </c>
      <c r="C1100" s="1" t="s">
        <v>799</v>
      </c>
      <c r="D1100" s="1" t="s">
        <v>1395</v>
      </c>
    </row>
    <row r="1101" spans="1:4">
      <c r="A1101" s="1" t="s">
        <v>370</v>
      </c>
      <c r="B1101" s="1" t="s">
        <v>798</v>
      </c>
      <c r="C1101" s="1" t="s">
        <v>799</v>
      </c>
      <c r="D1101" s="1" t="s">
        <v>1307</v>
      </c>
    </row>
    <row r="1102" spans="1:4">
      <c r="A1102" s="1" t="s">
        <v>371</v>
      </c>
      <c r="B1102" s="1" t="s">
        <v>794</v>
      </c>
      <c r="C1102" s="1" t="s">
        <v>799</v>
      </c>
      <c r="D1102" s="1" t="s">
        <v>1396</v>
      </c>
    </row>
    <row r="1103" spans="1:4">
      <c r="A1103" s="1" t="s">
        <v>371</v>
      </c>
      <c r="B1103" s="1" t="s">
        <v>795</v>
      </c>
      <c r="C1103" s="1" t="s">
        <v>799</v>
      </c>
      <c r="D1103" s="1" t="s">
        <v>802</v>
      </c>
    </row>
    <row r="1104" spans="1:4">
      <c r="A1104" s="1" t="s">
        <v>371</v>
      </c>
      <c r="B1104" s="1" t="s">
        <v>796</v>
      </c>
      <c r="C1104" s="1" t="s">
        <v>799</v>
      </c>
    </row>
    <row r="1105" spans="1:4">
      <c r="A1105" s="1" t="s">
        <v>371</v>
      </c>
      <c r="B1105" s="1" t="s">
        <v>797</v>
      </c>
      <c r="C1105" s="1" t="s">
        <v>799</v>
      </c>
      <c r="D1105" s="1" t="s">
        <v>1397</v>
      </c>
    </row>
    <row r="1106" spans="1:4">
      <c r="A1106" s="1" t="s">
        <v>371</v>
      </c>
      <c r="B1106" s="1" t="s">
        <v>798</v>
      </c>
      <c r="C1106" s="1" t="s">
        <v>799</v>
      </c>
      <c r="D1106" s="1" t="s">
        <v>1310</v>
      </c>
    </row>
    <row r="1107" spans="1:4">
      <c r="A1107" s="1" t="s">
        <v>372</v>
      </c>
      <c r="B1107" s="1" t="s">
        <v>794</v>
      </c>
      <c r="C1107" s="1" t="s">
        <v>799</v>
      </c>
      <c r="D1107" s="1" t="s">
        <v>1311</v>
      </c>
    </row>
    <row r="1108" spans="1:4">
      <c r="A1108" s="1" t="s">
        <v>372</v>
      </c>
      <c r="B1108" s="1" t="s">
        <v>795</v>
      </c>
      <c r="C1108" s="1" t="s">
        <v>799</v>
      </c>
      <c r="D1108" s="1" t="s">
        <v>802</v>
      </c>
    </row>
    <row r="1109" spans="1:4">
      <c r="A1109" s="1" t="s">
        <v>372</v>
      </c>
      <c r="B1109" s="1" t="s">
        <v>796</v>
      </c>
      <c r="C1109" s="1" t="s">
        <v>799</v>
      </c>
    </row>
    <row r="1110" spans="1:4">
      <c r="A1110" s="1" t="s">
        <v>372</v>
      </c>
      <c r="B1110" s="1" t="s">
        <v>797</v>
      </c>
      <c r="C1110" s="1" t="s">
        <v>799</v>
      </c>
      <c r="D1110" s="1" t="s">
        <v>1398</v>
      </c>
    </row>
    <row r="1111" spans="1:4">
      <c r="A1111" s="1" t="s">
        <v>372</v>
      </c>
      <c r="B1111" s="1" t="s">
        <v>798</v>
      </c>
      <c r="C1111" s="1" t="s">
        <v>799</v>
      </c>
      <c r="D1111" s="1" t="s">
        <v>1313</v>
      </c>
    </row>
    <row r="1112" spans="1:4">
      <c r="A1112" s="1" t="s">
        <v>373</v>
      </c>
      <c r="B1112" s="1" t="s">
        <v>794</v>
      </c>
      <c r="C1112" s="1" t="s">
        <v>799</v>
      </c>
      <c r="D1112" s="1" t="s">
        <v>1399</v>
      </c>
    </row>
    <row r="1113" spans="1:4">
      <c r="A1113" s="1" t="s">
        <v>373</v>
      </c>
      <c r="B1113" s="1" t="s">
        <v>795</v>
      </c>
      <c r="C1113" s="1" t="s">
        <v>799</v>
      </c>
      <c r="D1113" s="1" t="s">
        <v>802</v>
      </c>
    </row>
    <row r="1114" spans="1:4">
      <c r="A1114" s="1" t="s">
        <v>373</v>
      </c>
      <c r="B1114" s="1" t="s">
        <v>796</v>
      </c>
      <c r="C1114" s="1" t="s">
        <v>799</v>
      </c>
    </row>
    <row r="1115" spans="1:4">
      <c r="A1115" s="1" t="s">
        <v>373</v>
      </c>
      <c r="B1115" s="1" t="s">
        <v>797</v>
      </c>
      <c r="C1115" s="1" t="s">
        <v>799</v>
      </c>
      <c r="D1115" s="1" t="s">
        <v>1400</v>
      </c>
    </row>
    <row r="1116" spans="1:4">
      <c r="A1116" s="1" t="s">
        <v>373</v>
      </c>
      <c r="B1116" s="1" t="s">
        <v>798</v>
      </c>
      <c r="C1116" s="1" t="s">
        <v>799</v>
      </c>
      <c r="D1116" s="1" t="s">
        <v>1316</v>
      </c>
    </row>
    <row r="1117" spans="1:4">
      <c r="A1117" s="1" t="s">
        <v>374</v>
      </c>
      <c r="B1117" s="1" t="s">
        <v>794</v>
      </c>
      <c r="C1117" s="1" t="s">
        <v>799</v>
      </c>
      <c r="D1117" s="1" t="s">
        <v>1401</v>
      </c>
    </row>
    <row r="1118" spans="1:4">
      <c r="A1118" s="1" t="s">
        <v>374</v>
      </c>
      <c r="B1118" s="1" t="s">
        <v>795</v>
      </c>
      <c r="C1118" s="1" t="s">
        <v>799</v>
      </c>
      <c r="D1118" s="1" t="s">
        <v>802</v>
      </c>
    </row>
    <row r="1119" spans="1:4">
      <c r="A1119" s="1" t="s">
        <v>374</v>
      </c>
      <c r="B1119" s="1" t="s">
        <v>796</v>
      </c>
      <c r="C1119" s="1" t="s">
        <v>799</v>
      </c>
    </row>
    <row r="1120" spans="1:4">
      <c r="A1120" s="1" t="s">
        <v>374</v>
      </c>
      <c r="B1120" s="1" t="s">
        <v>797</v>
      </c>
      <c r="C1120" s="1" t="s">
        <v>799</v>
      </c>
      <c r="D1120" s="1" t="s">
        <v>1402</v>
      </c>
    </row>
    <row r="1121" spans="1:4">
      <c r="A1121" s="1" t="s">
        <v>374</v>
      </c>
      <c r="B1121" s="1" t="s">
        <v>798</v>
      </c>
      <c r="C1121" s="1" t="s">
        <v>799</v>
      </c>
      <c r="D1121" s="1" t="s">
        <v>1403</v>
      </c>
    </row>
    <row r="1122" spans="1:4">
      <c r="A1122" s="1" t="s">
        <v>375</v>
      </c>
      <c r="B1122" s="1" t="s">
        <v>794</v>
      </c>
      <c r="C1122" s="1" t="s">
        <v>799</v>
      </c>
      <c r="D1122" s="1" t="s">
        <v>1404</v>
      </c>
    </row>
    <row r="1123" spans="1:4">
      <c r="A1123" s="1" t="s">
        <v>375</v>
      </c>
      <c r="B1123" s="1" t="s">
        <v>795</v>
      </c>
      <c r="C1123" s="1" t="s">
        <v>799</v>
      </c>
      <c r="D1123" s="1" t="s">
        <v>802</v>
      </c>
    </row>
    <row r="1124" spans="1:4">
      <c r="A1124" s="1" t="s">
        <v>375</v>
      </c>
      <c r="B1124" s="1" t="s">
        <v>796</v>
      </c>
      <c r="C1124" s="1" t="s">
        <v>799</v>
      </c>
    </row>
    <row r="1125" spans="1:4">
      <c r="A1125" s="1" t="s">
        <v>375</v>
      </c>
      <c r="B1125" s="1" t="s">
        <v>797</v>
      </c>
      <c r="C1125" s="1" t="s">
        <v>799</v>
      </c>
      <c r="D1125" s="1" t="s">
        <v>1405</v>
      </c>
    </row>
    <row r="1126" spans="1:4">
      <c r="A1126" s="1" t="s">
        <v>375</v>
      </c>
      <c r="B1126" s="1" t="s">
        <v>798</v>
      </c>
      <c r="C1126" s="1" t="s">
        <v>799</v>
      </c>
      <c r="D1126" s="1" t="s">
        <v>1406</v>
      </c>
    </row>
    <row r="1127" spans="1:4">
      <c r="A1127" s="1" t="s">
        <v>376</v>
      </c>
      <c r="B1127" s="1" t="s">
        <v>794</v>
      </c>
      <c r="C1127" s="1" t="s">
        <v>799</v>
      </c>
      <c r="D1127" s="1" t="s">
        <v>1407</v>
      </c>
    </row>
    <row r="1128" spans="1:4">
      <c r="A1128" s="1" t="s">
        <v>376</v>
      </c>
      <c r="B1128" s="1" t="s">
        <v>795</v>
      </c>
      <c r="C1128" s="1" t="s">
        <v>799</v>
      </c>
      <c r="D1128" s="1" t="s">
        <v>802</v>
      </c>
    </row>
    <row r="1129" spans="1:4">
      <c r="A1129" s="1" t="s">
        <v>376</v>
      </c>
      <c r="B1129" s="1" t="s">
        <v>796</v>
      </c>
      <c r="C1129" s="1" t="s">
        <v>799</v>
      </c>
    </row>
    <row r="1130" spans="1:4">
      <c r="A1130" s="1" t="s">
        <v>376</v>
      </c>
      <c r="B1130" s="1" t="s">
        <v>797</v>
      </c>
      <c r="C1130" s="1" t="s">
        <v>799</v>
      </c>
      <c r="D1130" s="1" t="s">
        <v>1408</v>
      </c>
    </row>
    <row r="1131" spans="1:4">
      <c r="A1131" s="1" t="s">
        <v>376</v>
      </c>
      <c r="B1131" s="1" t="s">
        <v>798</v>
      </c>
      <c r="C1131" s="1" t="s">
        <v>799</v>
      </c>
      <c r="D1131" s="1" t="s">
        <v>1409</v>
      </c>
    </row>
    <row r="1132" spans="1:4">
      <c r="A1132" s="1" t="s">
        <v>377</v>
      </c>
      <c r="B1132" s="1" t="s">
        <v>794</v>
      </c>
      <c r="C1132" s="1" t="s">
        <v>799</v>
      </c>
      <c r="D1132" s="1" t="s">
        <v>1410</v>
      </c>
    </row>
    <row r="1133" spans="1:4">
      <c r="A1133" s="1" t="s">
        <v>377</v>
      </c>
      <c r="B1133" s="1" t="s">
        <v>795</v>
      </c>
      <c r="C1133" s="1" t="s">
        <v>799</v>
      </c>
      <c r="D1133" s="1" t="s">
        <v>802</v>
      </c>
    </row>
    <row r="1134" spans="1:4">
      <c r="A1134" s="1" t="s">
        <v>377</v>
      </c>
      <c r="B1134" s="1" t="s">
        <v>796</v>
      </c>
      <c r="C1134" s="1" t="s">
        <v>799</v>
      </c>
    </row>
    <row r="1135" spans="1:4">
      <c r="A1135" s="1" t="s">
        <v>377</v>
      </c>
      <c r="B1135" s="1" t="s">
        <v>797</v>
      </c>
      <c r="C1135" s="1" t="s">
        <v>799</v>
      </c>
      <c r="D1135" s="1" t="s">
        <v>1411</v>
      </c>
    </row>
    <row r="1136" spans="1:4">
      <c r="A1136" s="1" t="s">
        <v>377</v>
      </c>
      <c r="B1136" s="1" t="s">
        <v>798</v>
      </c>
      <c r="C1136" s="1" t="s">
        <v>799</v>
      </c>
      <c r="D1136" s="1" t="s">
        <v>1412</v>
      </c>
    </row>
    <row r="1137" spans="1:4">
      <c r="A1137" s="1" t="s">
        <v>378</v>
      </c>
      <c r="B1137" s="1" t="s">
        <v>794</v>
      </c>
      <c r="C1137" s="1" t="s">
        <v>799</v>
      </c>
      <c r="D1137" s="1" t="s">
        <v>1413</v>
      </c>
    </row>
    <row r="1138" spans="1:4">
      <c r="A1138" s="1" t="s">
        <v>378</v>
      </c>
      <c r="B1138" s="1" t="s">
        <v>795</v>
      </c>
      <c r="C1138" s="1" t="s">
        <v>799</v>
      </c>
      <c r="D1138" s="1" t="s">
        <v>802</v>
      </c>
    </row>
    <row r="1139" spans="1:4">
      <c r="A1139" s="1" t="s">
        <v>378</v>
      </c>
      <c r="B1139" s="1" t="s">
        <v>796</v>
      </c>
      <c r="C1139" s="1" t="s">
        <v>799</v>
      </c>
    </row>
    <row r="1140" spans="1:4">
      <c r="A1140" s="1" t="s">
        <v>378</v>
      </c>
      <c r="B1140" s="1" t="s">
        <v>797</v>
      </c>
      <c r="C1140" s="1" t="s">
        <v>799</v>
      </c>
      <c r="D1140" s="1" t="s">
        <v>1414</v>
      </c>
    </row>
    <row r="1141" spans="1:4">
      <c r="A1141" s="1" t="s">
        <v>378</v>
      </c>
      <c r="B1141" s="1" t="s">
        <v>798</v>
      </c>
      <c r="C1141" s="1" t="s">
        <v>799</v>
      </c>
      <c r="D1141" s="1" t="s">
        <v>1415</v>
      </c>
    </row>
    <row r="1142" spans="1:4">
      <c r="A1142" s="1" t="s">
        <v>379</v>
      </c>
      <c r="B1142" s="1" t="s">
        <v>794</v>
      </c>
      <c r="C1142" s="1" t="s">
        <v>799</v>
      </c>
      <c r="D1142" s="1" t="s">
        <v>1416</v>
      </c>
    </row>
    <row r="1143" spans="1:4">
      <c r="A1143" s="1" t="s">
        <v>379</v>
      </c>
      <c r="B1143" s="1" t="s">
        <v>795</v>
      </c>
      <c r="C1143" s="1" t="s">
        <v>799</v>
      </c>
      <c r="D1143" s="1" t="s">
        <v>802</v>
      </c>
    </row>
    <row r="1144" spans="1:4">
      <c r="A1144" s="1" t="s">
        <v>379</v>
      </c>
      <c r="B1144" s="1" t="s">
        <v>796</v>
      </c>
      <c r="C1144" s="1" t="s">
        <v>799</v>
      </c>
    </row>
    <row r="1145" spans="1:4">
      <c r="A1145" s="1" t="s">
        <v>379</v>
      </c>
      <c r="B1145" s="1" t="s">
        <v>797</v>
      </c>
      <c r="C1145" s="1" t="s">
        <v>799</v>
      </c>
      <c r="D1145" s="1" t="s">
        <v>1152</v>
      </c>
    </row>
    <row r="1146" spans="1:4">
      <c r="A1146" s="1" t="s">
        <v>379</v>
      </c>
      <c r="B1146" s="1" t="s">
        <v>798</v>
      </c>
      <c r="C1146" s="1" t="s">
        <v>799</v>
      </c>
      <c r="D1146" s="1" t="s">
        <v>1417</v>
      </c>
    </row>
    <row r="1147" spans="1:4">
      <c r="A1147" s="1" t="s">
        <v>380</v>
      </c>
      <c r="B1147" s="1" t="s">
        <v>794</v>
      </c>
      <c r="C1147" s="1" t="s">
        <v>799</v>
      </c>
      <c r="D1147" s="1" t="s">
        <v>1418</v>
      </c>
    </row>
    <row r="1148" spans="1:4">
      <c r="A1148" s="1" t="s">
        <v>380</v>
      </c>
      <c r="B1148" s="1" t="s">
        <v>795</v>
      </c>
      <c r="C1148" s="1" t="s">
        <v>799</v>
      </c>
      <c r="D1148" s="1" t="s">
        <v>802</v>
      </c>
    </row>
    <row r="1149" spans="1:4">
      <c r="A1149" s="1" t="s">
        <v>380</v>
      </c>
      <c r="B1149" s="1" t="s">
        <v>796</v>
      </c>
      <c r="C1149" s="1" t="s">
        <v>799</v>
      </c>
    </row>
    <row r="1150" spans="1:4">
      <c r="A1150" s="1" t="s">
        <v>380</v>
      </c>
      <c r="B1150" s="1" t="s">
        <v>797</v>
      </c>
      <c r="C1150" s="1" t="s">
        <v>799</v>
      </c>
      <c r="D1150" s="1" t="s">
        <v>1419</v>
      </c>
    </row>
    <row r="1151" spans="1:4">
      <c r="A1151" s="1" t="s">
        <v>380</v>
      </c>
      <c r="B1151" s="1" t="s">
        <v>798</v>
      </c>
      <c r="C1151" s="1" t="s">
        <v>799</v>
      </c>
      <c r="D1151" s="1" t="s">
        <v>1420</v>
      </c>
    </row>
    <row r="1152" spans="1:4">
      <c r="A1152" s="1" t="s">
        <v>381</v>
      </c>
      <c r="B1152" s="1" t="s">
        <v>794</v>
      </c>
      <c r="C1152" s="1" t="s">
        <v>799</v>
      </c>
      <c r="D1152" s="1" t="s">
        <v>1421</v>
      </c>
    </row>
    <row r="1153" spans="1:4">
      <c r="A1153" s="1" t="s">
        <v>381</v>
      </c>
      <c r="B1153" s="1" t="s">
        <v>795</v>
      </c>
      <c r="C1153" s="1" t="s">
        <v>799</v>
      </c>
      <c r="D1153" s="1" t="s">
        <v>802</v>
      </c>
    </row>
    <row r="1154" spans="1:4">
      <c r="A1154" s="1" t="s">
        <v>381</v>
      </c>
      <c r="B1154" s="1" t="s">
        <v>796</v>
      </c>
      <c r="C1154" s="1" t="s">
        <v>799</v>
      </c>
    </row>
    <row r="1155" spans="1:4">
      <c r="A1155" s="1" t="s">
        <v>381</v>
      </c>
      <c r="B1155" s="1" t="s">
        <v>797</v>
      </c>
      <c r="C1155" s="1" t="s">
        <v>799</v>
      </c>
      <c r="D1155" s="1" t="s">
        <v>1422</v>
      </c>
    </row>
    <row r="1156" spans="1:4">
      <c r="A1156" s="1" t="s">
        <v>381</v>
      </c>
      <c r="B1156" s="1" t="s">
        <v>798</v>
      </c>
      <c r="C1156" s="1" t="s">
        <v>799</v>
      </c>
      <c r="D1156" s="1" t="s">
        <v>1423</v>
      </c>
    </row>
    <row r="1157" spans="1:4">
      <c r="A1157" s="1" t="s">
        <v>382</v>
      </c>
      <c r="B1157" s="1" t="s">
        <v>794</v>
      </c>
      <c r="C1157" s="1" t="s">
        <v>799</v>
      </c>
      <c r="D1157" s="1" t="s">
        <v>1424</v>
      </c>
    </row>
    <row r="1158" spans="1:4">
      <c r="A1158" s="1" t="s">
        <v>382</v>
      </c>
      <c r="B1158" s="1" t="s">
        <v>795</v>
      </c>
      <c r="C1158" s="1" t="s">
        <v>799</v>
      </c>
      <c r="D1158" s="1" t="s">
        <v>802</v>
      </c>
    </row>
    <row r="1159" spans="1:4">
      <c r="A1159" s="1" t="s">
        <v>382</v>
      </c>
      <c r="B1159" s="1" t="s">
        <v>796</v>
      </c>
      <c r="C1159" s="1" t="s">
        <v>799</v>
      </c>
    </row>
    <row r="1160" spans="1:4">
      <c r="A1160" s="1" t="s">
        <v>382</v>
      </c>
      <c r="B1160" s="1" t="s">
        <v>797</v>
      </c>
      <c r="C1160" s="1" t="s">
        <v>799</v>
      </c>
      <c r="D1160" s="1" t="s">
        <v>1425</v>
      </c>
    </row>
    <row r="1161" spans="1:4">
      <c r="A1161" s="1" t="s">
        <v>382</v>
      </c>
      <c r="B1161" s="1" t="s">
        <v>798</v>
      </c>
      <c r="C1161" s="1" t="s">
        <v>799</v>
      </c>
      <c r="D1161" s="1" t="s">
        <v>1426</v>
      </c>
    </row>
    <row r="1162" spans="1:4">
      <c r="A1162" s="1" t="s">
        <v>383</v>
      </c>
      <c r="B1162" s="1" t="s">
        <v>794</v>
      </c>
      <c r="C1162" s="1" t="s">
        <v>799</v>
      </c>
      <c r="D1162" s="1" t="s">
        <v>1427</v>
      </c>
    </row>
    <row r="1163" spans="1:4">
      <c r="A1163" s="1" t="s">
        <v>383</v>
      </c>
      <c r="B1163" s="1" t="s">
        <v>795</v>
      </c>
      <c r="C1163" s="1" t="s">
        <v>799</v>
      </c>
      <c r="D1163" s="1" t="s">
        <v>802</v>
      </c>
    </row>
    <row r="1164" spans="1:4">
      <c r="A1164" s="1" t="s">
        <v>383</v>
      </c>
      <c r="B1164" s="1" t="s">
        <v>796</v>
      </c>
      <c r="C1164" s="1" t="s">
        <v>799</v>
      </c>
    </row>
    <row r="1165" spans="1:4">
      <c r="A1165" s="1" t="s">
        <v>383</v>
      </c>
      <c r="B1165" s="1" t="s">
        <v>797</v>
      </c>
      <c r="C1165" s="1" t="s">
        <v>799</v>
      </c>
      <c r="D1165" s="1" t="s">
        <v>1428</v>
      </c>
    </row>
    <row r="1166" spans="1:4">
      <c r="A1166" s="1" t="s">
        <v>383</v>
      </c>
      <c r="B1166" s="1" t="s">
        <v>798</v>
      </c>
      <c r="C1166" s="1" t="s">
        <v>799</v>
      </c>
      <c r="D1166" s="1" t="s">
        <v>1429</v>
      </c>
    </row>
    <row r="1167" spans="1:4">
      <c r="A1167" s="1" t="s">
        <v>384</v>
      </c>
      <c r="B1167" s="1" t="s">
        <v>794</v>
      </c>
      <c r="C1167" s="1" t="s">
        <v>799</v>
      </c>
      <c r="D1167" s="1" t="s">
        <v>1430</v>
      </c>
    </row>
    <row r="1168" spans="1:4">
      <c r="A1168" s="1" t="s">
        <v>384</v>
      </c>
      <c r="B1168" s="1" t="s">
        <v>795</v>
      </c>
      <c r="C1168" s="1" t="s">
        <v>799</v>
      </c>
      <c r="D1168" s="1" t="s">
        <v>802</v>
      </c>
    </row>
    <row r="1169" spans="1:4">
      <c r="A1169" s="1" t="s">
        <v>384</v>
      </c>
      <c r="B1169" s="1" t="s">
        <v>796</v>
      </c>
      <c r="C1169" s="1" t="s">
        <v>799</v>
      </c>
    </row>
    <row r="1170" spans="1:4">
      <c r="A1170" s="1" t="s">
        <v>384</v>
      </c>
      <c r="B1170" s="1" t="s">
        <v>797</v>
      </c>
      <c r="C1170" s="1" t="s">
        <v>799</v>
      </c>
      <c r="D1170" s="1" t="s">
        <v>1431</v>
      </c>
    </row>
    <row r="1171" spans="1:4">
      <c r="A1171" s="1" t="s">
        <v>384</v>
      </c>
      <c r="B1171" s="1" t="s">
        <v>798</v>
      </c>
      <c r="C1171" s="1" t="s">
        <v>799</v>
      </c>
      <c r="D1171" s="1" t="s">
        <v>1432</v>
      </c>
    </row>
    <row r="1172" spans="1:4">
      <c r="A1172" s="1" t="s">
        <v>385</v>
      </c>
      <c r="B1172" s="1" t="s">
        <v>794</v>
      </c>
      <c r="C1172" s="1" t="s">
        <v>799</v>
      </c>
      <c r="D1172" s="1" t="s">
        <v>1433</v>
      </c>
    </row>
    <row r="1173" spans="1:4">
      <c r="A1173" s="1" t="s">
        <v>385</v>
      </c>
      <c r="B1173" s="1" t="s">
        <v>795</v>
      </c>
      <c r="C1173" s="1" t="s">
        <v>799</v>
      </c>
      <c r="D1173" s="1" t="s">
        <v>802</v>
      </c>
    </row>
    <row r="1174" spans="1:4">
      <c r="A1174" s="1" t="s">
        <v>385</v>
      </c>
      <c r="B1174" s="1" t="s">
        <v>796</v>
      </c>
      <c r="C1174" s="1" t="s">
        <v>799</v>
      </c>
    </row>
    <row r="1175" spans="1:4">
      <c r="A1175" s="1" t="s">
        <v>385</v>
      </c>
      <c r="B1175" s="1" t="s">
        <v>797</v>
      </c>
      <c r="C1175" s="1" t="s">
        <v>799</v>
      </c>
      <c r="D1175" s="1" t="s">
        <v>1434</v>
      </c>
    </row>
    <row r="1176" spans="1:4">
      <c r="A1176" s="1" t="s">
        <v>385</v>
      </c>
      <c r="B1176" s="1" t="s">
        <v>798</v>
      </c>
      <c r="C1176" s="1" t="s">
        <v>799</v>
      </c>
      <c r="D1176" s="1" t="s">
        <v>1435</v>
      </c>
    </row>
    <row r="1177" spans="1:4">
      <c r="A1177" s="1" t="s">
        <v>386</v>
      </c>
      <c r="B1177" s="1" t="s">
        <v>794</v>
      </c>
      <c r="C1177" s="1" t="s">
        <v>799</v>
      </c>
      <c r="D1177" s="1" t="s">
        <v>1436</v>
      </c>
    </row>
    <row r="1178" spans="1:4">
      <c r="A1178" s="1" t="s">
        <v>386</v>
      </c>
      <c r="B1178" s="1" t="s">
        <v>795</v>
      </c>
      <c r="C1178" s="1" t="s">
        <v>799</v>
      </c>
      <c r="D1178" s="1" t="s">
        <v>802</v>
      </c>
    </row>
    <row r="1179" spans="1:4">
      <c r="A1179" s="1" t="s">
        <v>386</v>
      </c>
      <c r="B1179" s="1" t="s">
        <v>796</v>
      </c>
      <c r="C1179" s="1" t="s">
        <v>799</v>
      </c>
    </row>
    <row r="1180" spans="1:4">
      <c r="A1180" s="1" t="s">
        <v>386</v>
      </c>
      <c r="B1180" s="1" t="s">
        <v>797</v>
      </c>
      <c r="C1180" s="1" t="s">
        <v>799</v>
      </c>
      <c r="D1180" s="1" t="s">
        <v>1437</v>
      </c>
    </row>
    <row r="1181" spans="1:4">
      <c r="A1181" s="1" t="s">
        <v>386</v>
      </c>
      <c r="B1181" s="1" t="s">
        <v>798</v>
      </c>
      <c r="C1181" s="1" t="s">
        <v>799</v>
      </c>
      <c r="D1181" s="1" t="s">
        <v>1438</v>
      </c>
    </row>
    <row r="1182" spans="1:4">
      <c r="A1182" s="1" t="s">
        <v>387</v>
      </c>
      <c r="B1182" s="1" t="s">
        <v>794</v>
      </c>
      <c r="C1182" s="1" t="s">
        <v>799</v>
      </c>
      <c r="D1182" s="1" t="s">
        <v>1439</v>
      </c>
    </row>
    <row r="1183" spans="1:4">
      <c r="A1183" s="1" t="s">
        <v>387</v>
      </c>
      <c r="B1183" s="1" t="s">
        <v>795</v>
      </c>
      <c r="C1183" s="1" t="s">
        <v>799</v>
      </c>
      <c r="D1183" s="1" t="s">
        <v>802</v>
      </c>
    </row>
    <row r="1184" spans="1:4">
      <c r="A1184" s="1" t="s">
        <v>387</v>
      </c>
      <c r="B1184" s="1" t="s">
        <v>796</v>
      </c>
      <c r="C1184" s="1" t="s">
        <v>799</v>
      </c>
    </row>
    <row r="1185" spans="1:4">
      <c r="A1185" s="1" t="s">
        <v>387</v>
      </c>
      <c r="B1185" s="1" t="s">
        <v>797</v>
      </c>
      <c r="C1185" s="1" t="s">
        <v>799</v>
      </c>
      <c r="D1185" s="1" t="s">
        <v>1440</v>
      </c>
    </row>
    <row r="1186" spans="1:4">
      <c r="A1186" s="1" t="s">
        <v>387</v>
      </c>
      <c r="B1186" s="1" t="s">
        <v>798</v>
      </c>
      <c r="C1186" s="1" t="s">
        <v>799</v>
      </c>
      <c r="D1186" s="1" t="s">
        <v>1441</v>
      </c>
    </row>
    <row r="1187" spans="1:4">
      <c r="A1187" s="1" t="s">
        <v>388</v>
      </c>
      <c r="B1187" s="1" t="s">
        <v>794</v>
      </c>
      <c r="C1187" s="1" t="s">
        <v>799</v>
      </c>
      <c r="D1187" s="1" t="s">
        <v>1442</v>
      </c>
    </row>
    <row r="1188" spans="1:4">
      <c r="A1188" s="1" t="s">
        <v>388</v>
      </c>
      <c r="B1188" s="1" t="s">
        <v>795</v>
      </c>
      <c r="C1188" s="1" t="s">
        <v>799</v>
      </c>
      <c r="D1188" s="1" t="s">
        <v>802</v>
      </c>
    </row>
    <row r="1189" spans="1:4">
      <c r="A1189" s="1" t="s">
        <v>388</v>
      </c>
      <c r="B1189" s="1" t="s">
        <v>796</v>
      </c>
      <c r="C1189" s="1" t="s">
        <v>799</v>
      </c>
    </row>
    <row r="1190" spans="1:4">
      <c r="A1190" s="1" t="s">
        <v>388</v>
      </c>
      <c r="B1190" s="1" t="s">
        <v>797</v>
      </c>
      <c r="C1190" s="1" t="s">
        <v>799</v>
      </c>
      <c r="D1190" s="1" t="s">
        <v>1443</v>
      </c>
    </row>
    <row r="1191" spans="1:4">
      <c r="A1191" s="1" t="s">
        <v>388</v>
      </c>
      <c r="B1191" s="1" t="s">
        <v>798</v>
      </c>
      <c r="C1191" s="1" t="s">
        <v>799</v>
      </c>
      <c r="D1191" s="1" t="s">
        <v>1444</v>
      </c>
    </row>
    <row r="1192" spans="1:4">
      <c r="A1192" s="1" t="s">
        <v>389</v>
      </c>
      <c r="B1192" s="1" t="s">
        <v>794</v>
      </c>
      <c r="C1192" s="1" t="s">
        <v>799</v>
      </c>
      <c r="D1192" s="1" t="s">
        <v>1445</v>
      </c>
    </row>
    <row r="1193" spans="1:4">
      <c r="A1193" s="1" t="s">
        <v>389</v>
      </c>
      <c r="B1193" s="1" t="s">
        <v>795</v>
      </c>
      <c r="C1193" s="1" t="s">
        <v>799</v>
      </c>
      <c r="D1193" s="1" t="s">
        <v>802</v>
      </c>
    </row>
    <row r="1194" spans="1:4">
      <c r="A1194" s="1" t="s">
        <v>389</v>
      </c>
      <c r="B1194" s="1" t="s">
        <v>796</v>
      </c>
      <c r="C1194" s="1" t="s">
        <v>799</v>
      </c>
    </row>
    <row r="1195" spans="1:4">
      <c r="A1195" s="1" t="s">
        <v>389</v>
      </c>
      <c r="B1195" s="1" t="s">
        <v>797</v>
      </c>
      <c r="C1195" s="1" t="s">
        <v>799</v>
      </c>
      <c r="D1195" s="1" t="s">
        <v>1446</v>
      </c>
    </row>
    <row r="1196" spans="1:4">
      <c r="A1196" s="1" t="s">
        <v>389</v>
      </c>
      <c r="B1196" s="1" t="s">
        <v>798</v>
      </c>
      <c r="C1196" s="1" t="s">
        <v>799</v>
      </c>
      <c r="D1196" s="1" t="s">
        <v>1221</v>
      </c>
    </row>
  </sheetData>
  <autoFilter ref="A1:D1196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ySplit="1" topLeftCell="A2" activePane="bottomLeft" state="frozen"/>
      <selection pane="bottomLeft"/>
    </sheetView>
  </sheetViews>
  <sheetFormatPr defaultRowHeight="15"/>
  <cols>
    <col min="1" max="15" width="14.7109375" style="1" customWidth="1"/>
    <col min="16" max="16" width="21.7109375" style="1" customWidth="1"/>
  </cols>
  <sheetData>
    <row r="1" spans="1:16">
      <c r="A1" s="2" t="s">
        <v>100</v>
      </c>
      <c r="B1" s="2" t="s">
        <v>1453</v>
      </c>
      <c r="C1" s="2" t="s">
        <v>1454</v>
      </c>
      <c r="D1" s="2" t="s">
        <v>1455</v>
      </c>
      <c r="E1" s="2" t="s">
        <v>1456</v>
      </c>
      <c r="F1" s="2" t="s">
        <v>1457</v>
      </c>
      <c r="G1" s="2" t="s">
        <v>1458</v>
      </c>
      <c r="H1" s="2" t="s">
        <v>1459</v>
      </c>
      <c r="I1" s="2" t="s">
        <v>1460</v>
      </c>
      <c r="J1" s="2" t="s">
        <v>1461</v>
      </c>
      <c r="K1" s="2" t="s">
        <v>1462</v>
      </c>
      <c r="L1" s="2" t="s">
        <v>1463</v>
      </c>
      <c r="M1" s="2" t="s">
        <v>1464</v>
      </c>
      <c r="N1" s="2" t="s">
        <v>1465</v>
      </c>
      <c r="O1" s="2" t="s">
        <v>1466</v>
      </c>
      <c r="P1" s="2" t="s">
        <v>184</v>
      </c>
    </row>
    <row r="2" spans="1:16">
      <c r="A2" s="1" t="s">
        <v>43</v>
      </c>
      <c r="B2" s="1">
        <v>3566</v>
      </c>
      <c r="C2" s="1">
        <v>3663</v>
      </c>
      <c r="D2" s="1">
        <v>97.34999999999999</v>
      </c>
      <c r="E2" s="1" t="s">
        <v>210</v>
      </c>
      <c r="F2" s="1" t="s">
        <v>211</v>
      </c>
      <c r="G2" s="1">
        <v>0.99638</v>
      </c>
      <c r="H2" s="1">
        <v>0.99276</v>
      </c>
      <c r="I2" s="1">
        <v>0.98809</v>
      </c>
      <c r="J2" s="1">
        <v>0.9942</v>
      </c>
      <c r="K2" s="1">
        <v>-0.013</v>
      </c>
      <c r="L2" s="1">
        <v>1.426</v>
      </c>
      <c r="M2" s="1">
        <v>9</v>
      </c>
      <c r="N2" s="1">
        <v>16.77</v>
      </c>
      <c r="O2" s="1">
        <v>16.8</v>
      </c>
      <c r="P2" s="1" t="s">
        <v>799</v>
      </c>
    </row>
    <row r="3" spans="1:16">
      <c r="A3" s="1" t="s">
        <v>44</v>
      </c>
      <c r="B3" s="1">
        <v>3549</v>
      </c>
      <c r="C3" s="1">
        <v>3648</v>
      </c>
      <c r="D3" s="1">
        <v>97.29000000000001</v>
      </c>
      <c r="E3" s="1" t="s">
        <v>210</v>
      </c>
      <c r="F3" s="1" t="s">
        <v>211</v>
      </c>
      <c r="G3" s="1">
        <v>0.99854</v>
      </c>
      <c r="H3" s="1">
        <v>0.99709</v>
      </c>
      <c r="I3" s="1">
        <v>0.97202</v>
      </c>
      <c r="J3" s="1">
        <v>0.9917</v>
      </c>
      <c r="K3" s="1">
        <v>0.076</v>
      </c>
      <c r="L3" s="1">
        <v>1.12</v>
      </c>
      <c r="M3" s="1">
        <v>7.1</v>
      </c>
      <c r="N3" s="1">
        <v>20.76</v>
      </c>
      <c r="O3" s="1">
        <v>20.9</v>
      </c>
      <c r="P3" s="1" t="s">
        <v>799</v>
      </c>
    </row>
    <row r="4" spans="1:16">
      <c r="A4" s="1" t="s">
        <v>45</v>
      </c>
      <c r="B4" s="1">
        <v>3619</v>
      </c>
      <c r="C4" s="1">
        <v>3676</v>
      </c>
      <c r="D4" s="1">
        <v>98.45</v>
      </c>
      <c r="E4" s="1" t="s">
        <v>210</v>
      </c>
      <c r="F4" s="1" t="s">
        <v>211</v>
      </c>
      <c r="G4" s="1">
        <v>0.9849</v>
      </c>
      <c r="H4" s="1">
        <v>0.97004</v>
      </c>
      <c r="I4" s="1">
        <v>0.9123599999999999</v>
      </c>
      <c r="J4" s="1">
        <v>0.9891</v>
      </c>
      <c r="K4" s="1">
        <v>-0.045</v>
      </c>
      <c r="L4" s="1">
        <v>2.582</v>
      </c>
      <c r="M4" s="1">
        <v>16.3</v>
      </c>
      <c r="N4" s="1">
        <v>14.92</v>
      </c>
      <c r="O4" s="1">
        <v>14.86</v>
      </c>
      <c r="P4" s="1" t="s">
        <v>1452</v>
      </c>
    </row>
    <row r="5" spans="1:16">
      <c r="A5" s="1" t="s">
        <v>46</v>
      </c>
      <c r="B5" s="1">
        <v>3229</v>
      </c>
      <c r="C5" s="1">
        <v>3266</v>
      </c>
      <c r="D5" s="1">
        <v>98.87</v>
      </c>
      <c r="E5" s="1" t="s">
        <v>1450</v>
      </c>
      <c r="F5" s="1" t="s">
        <v>211</v>
      </c>
      <c r="G5" s="1">
        <v>0.9912</v>
      </c>
      <c r="H5" s="1">
        <v>0.98247</v>
      </c>
      <c r="I5" s="1">
        <v>0.9764</v>
      </c>
      <c r="J5" s="1">
        <v>0.9923999999999999</v>
      </c>
      <c r="K5" s="1">
        <v>-0.005</v>
      </c>
      <c r="L5" s="1">
        <v>2.482</v>
      </c>
      <c r="M5" s="1">
        <v>15.6</v>
      </c>
      <c r="N5" s="1">
        <v>18.74</v>
      </c>
      <c r="O5" s="1">
        <v>18.72</v>
      </c>
      <c r="P5" s="1" t="s">
        <v>1452</v>
      </c>
    </row>
    <row r="6" spans="1:16">
      <c r="A6" s="1" t="s">
        <v>47</v>
      </c>
      <c r="B6" s="1">
        <v>3153</v>
      </c>
      <c r="C6" s="1">
        <v>3348</v>
      </c>
      <c r="D6" s="1">
        <v>94.18000000000001</v>
      </c>
      <c r="E6" s="1" t="s">
        <v>1451</v>
      </c>
      <c r="F6" s="1" t="s">
        <v>211</v>
      </c>
      <c r="G6" s="1">
        <v>0.99278</v>
      </c>
      <c r="H6" s="1">
        <v>0.98561</v>
      </c>
      <c r="I6" s="1">
        <v>0.92704</v>
      </c>
      <c r="J6" s="1">
        <v>0.9943</v>
      </c>
      <c r="K6" s="1">
        <v>-0.065</v>
      </c>
      <c r="L6" s="1">
        <v>2.586</v>
      </c>
      <c r="M6" s="1">
        <v>16.3</v>
      </c>
      <c r="N6" s="1">
        <v>21.56</v>
      </c>
      <c r="O6" s="1">
        <v>21.52</v>
      </c>
      <c r="P6" s="1" t="s">
        <v>1452</v>
      </c>
    </row>
    <row r="7" spans="1:16">
      <c r="A7" s="1" t="s">
        <v>48</v>
      </c>
      <c r="B7" s="1">
        <v>3538</v>
      </c>
      <c r="C7" s="1">
        <v>3563</v>
      </c>
      <c r="D7" s="1">
        <v>99.3</v>
      </c>
      <c r="E7" s="1" t="s">
        <v>210</v>
      </c>
      <c r="F7" s="1" t="s">
        <v>211</v>
      </c>
      <c r="G7" s="1">
        <v>0.99361</v>
      </c>
      <c r="H7" s="1">
        <v>0.98726</v>
      </c>
      <c r="I7" s="1">
        <v>0.94332</v>
      </c>
      <c r="J7" s="1">
        <v>1.0109</v>
      </c>
      <c r="K7" s="1">
        <v>-0.023</v>
      </c>
      <c r="L7" s="1">
        <v>2.382</v>
      </c>
      <c r="M7" s="1">
        <v>15</v>
      </c>
      <c r="N7" s="1">
        <v>21.1</v>
      </c>
      <c r="O7" s="1">
        <v>20.74</v>
      </c>
      <c r="P7" s="1" t="s">
        <v>1452</v>
      </c>
    </row>
  </sheetData>
  <autoFilter ref="A1:P7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4.7109375" style="1" customWidth="1"/>
  </cols>
  <sheetData>
    <row r="1" spans="1:5">
      <c r="A1" s="2" t="s">
        <v>636</v>
      </c>
      <c r="B1" s="2" t="s">
        <v>635</v>
      </c>
      <c r="C1" s="2" t="s">
        <v>1475</v>
      </c>
      <c r="D1" s="2" t="s">
        <v>1476</v>
      </c>
      <c r="E1" s="2" t="s">
        <v>642</v>
      </c>
    </row>
    <row r="2" spans="1:5">
      <c r="A2" s="1" t="s">
        <v>43</v>
      </c>
      <c r="B2" s="1" t="s">
        <v>1467</v>
      </c>
      <c r="C2" s="1">
        <v>2.114</v>
      </c>
      <c r="D2" s="1">
        <v>361</v>
      </c>
      <c r="E2" s="1">
        <v>1513.938</v>
      </c>
    </row>
    <row r="3" spans="1:5">
      <c r="A3" s="1" t="s">
        <v>43</v>
      </c>
      <c r="B3" s="1" t="s">
        <v>1468</v>
      </c>
      <c r="C3" s="1">
        <v>1.466</v>
      </c>
      <c r="D3" s="1">
        <v>375</v>
      </c>
      <c r="E3" s="1">
        <v>1486.606</v>
      </c>
    </row>
    <row r="4" spans="1:5">
      <c r="A4" s="1" t="s">
        <v>43</v>
      </c>
      <c r="B4" s="1" t="s">
        <v>1469</v>
      </c>
      <c r="C4" s="1">
        <v>0.134</v>
      </c>
      <c r="D4" s="1">
        <v>148</v>
      </c>
      <c r="E4" s="1">
        <v>1496.84</v>
      </c>
    </row>
    <row r="5" spans="1:5">
      <c r="A5" s="1" t="s">
        <v>43</v>
      </c>
      <c r="B5" s="1" t="s">
        <v>1470</v>
      </c>
      <c r="C5" s="1">
        <v>0.092</v>
      </c>
      <c r="D5" s="1">
        <v>390</v>
      </c>
      <c r="E5" s="1">
        <v>1515.909</v>
      </c>
    </row>
    <row r="6" spans="1:5">
      <c r="A6" s="1" t="s">
        <v>44</v>
      </c>
      <c r="B6" s="1" t="s">
        <v>1468</v>
      </c>
      <c r="C6" s="1">
        <v>2.904</v>
      </c>
      <c r="D6" s="1">
        <v>390</v>
      </c>
      <c r="E6" s="1">
        <v>2696.684</v>
      </c>
    </row>
    <row r="7" spans="1:5">
      <c r="A7" s="1" t="s">
        <v>44</v>
      </c>
      <c r="B7" s="1" t="s">
        <v>1469</v>
      </c>
      <c r="C7" s="1">
        <v>0.527</v>
      </c>
      <c r="D7" s="1">
        <v>149</v>
      </c>
      <c r="E7" s="1">
        <v>2712.186</v>
      </c>
    </row>
    <row r="8" spans="1:5">
      <c r="A8" s="1" t="s">
        <v>44</v>
      </c>
      <c r="B8" s="1" t="s">
        <v>1470</v>
      </c>
      <c r="C8" s="1">
        <v>0.409</v>
      </c>
      <c r="D8" s="1">
        <v>390</v>
      </c>
      <c r="E8" s="1">
        <v>2740.619</v>
      </c>
    </row>
    <row r="9" spans="1:5">
      <c r="A9" s="1" t="s">
        <v>45</v>
      </c>
      <c r="B9" s="1" t="s">
        <v>1471</v>
      </c>
      <c r="C9" s="1">
        <v>0.022</v>
      </c>
      <c r="D9" s="1">
        <v>33</v>
      </c>
      <c r="E9" s="1">
        <v>6694.148</v>
      </c>
    </row>
    <row r="10" spans="1:5">
      <c r="A10" s="1" t="s">
        <v>45</v>
      </c>
      <c r="B10" s="1" t="s">
        <v>1472</v>
      </c>
      <c r="C10" s="1">
        <v>0.019</v>
      </c>
      <c r="D10" s="1">
        <v>35</v>
      </c>
      <c r="E10" s="1">
        <v>6694.146</v>
      </c>
    </row>
    <row r="11" spans="1:5">
      <c r="A11" s="1" t="s">
        <v>45</v>
      </c>
      <c r="B11" s="1" t="s">
        <v>1473</v>
      </c>
      <c r="C11" s="1">
        <v>0.022</v>
      </c>
      <c r="D11" s="1">
        <v>35</v>
      </c>
      <c r="E11" s="1">
        <v>6749.074</v>
      </c>
    </row>
    <row r="12" spans="1:5">
      <c r="A12" s="1" t="s">
        <v>46</v>
      </c>
      <c r="B12" s="1" t="s">
        <v>1474</v>
      </c>
      <c r="C12" s="1">
        <v>0.016</v>
      </c>
      <c r="D12" s="1">
        <v>34</v>
      </c>
      <c r="E12" s="1">
        <v>9488.799999999999</v>
      </c>
    </row>
    <row r="13" spans="1:5">
      <c r="A13" s="1" t="s">
        <v>46</v>
      </c>
      <c r="B13" s="1" t="s">
        <v>1471</v>
      </c>
      <c r="C13" s="1">
        <v>0.016</v>
      </c>
      <c r="D13" s="1">
        <v>34</v>
      </c>
      <c r="E13" s="1">
        <v>9488.808000000001</v>
      </c>
    </row>
    <row r="14" spans="1:5">
      <c r="A14" s="1" t="s">
        <v>46</v>
      </c>
      <c r="B14" s="1" t="s">
        <v>1472</v>
      </c>
      <c r="C14" s="1">
        <v>0.016</v>
      </c>
      <c r="D14" s="1">
        <v>35</v>
      </c>
      <c r="E14" s="1">
        <v>9488.803</v>
      </c>
    </row>
    <row r="15" spans="1:5">
      <c r="A15" s="1" t="s">
        <v>46</v>
      </c>
      <c r="B15" s="1" t="s">
        <v>428</v>
      </c>
      <c r="C15" s="1">
        <v>0.016</v>
      </c>
      <c r="D15" s="1">
        <v>34</v>
      </c>
      <c r="E15" s="1">
        <v>9552.137000000001</v>
      </c>
    </row>
    <row r="16" spans="1:5">
      <c r="A16" s="1" t="s">
        <v>46</v>
      </c>
      <c r="B16" s="1" t="s">
        <v>1473</v>
      </c>
      <c r="C16" s="1">
        <v>0.016</v>
      </c>
      <c r="D16" s="1">
        <v>35</v>
      </c>
      <c r="E16" s="1">
        <v>9552.138999999999</v>
      </c>
    </row>
  </sheetData>
  <autoFilter ref="A1:E16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4" width="60.7109375" style="1" customWidth="1"/>
    <col min="5" max="5" width="16.7109375" style="1" customWidth="1"/>
  </cols>
  <sheetData>
    <row r="1" spans="1:5">
      <c r="A1" s="2" t="s">
        <v>1528</v>
      </c>
      <c r="B1" s="2" t="s">
        <v>1529</v>
      </c>
      <c r="C1" s="2" t="s">
        <v>42</v>
      </c>
      <c r="D1" s="2" t="s">
        <v>1530</v>
      </c>
      <c r="E1" s="2" t="s">
        <v>1531</v>
      </c>
    </row>
    <row r="2" spans="1:5">
      <c r="A2" s="1" t="s">
        <v>1477</v>
      </c>
      <c r="B2" s="1" t="s">
        <v>1480</v>
      </c>
      <c r="C2" s="1" t="s">
        <v>1495</v>
      </c>
      <c r="D2" s="1" t="s">
        <v>1510</v>
      </c>
      <c r="E2" s="1" t="s">
        <v>1525</v>
      </c>
    </row>
    <row r="3" spans="1:5">
      <c r="A3" s="1" t="s">
        <v>1477</v>
      </c>
      <c r="B3" s="1" t="s">
        <v>1481</v>
      </c>
      <c r="C3" s="1" t="s">
        <v>1496</v>
      </c>
      <c r="D3" s="1" t="s">
        <v>1511</v>
      </c>
      <c r="E3" s="1" t="s">
        <v>1525</v>
      </c>
    </row>
    <row r="4" spans="1:5">
      <c r="A4" s="1" t="s">
        <v>1478</v>
      </c>
      <c r="B4" s="1" t="s">
        <v>1482</v>
      </c>
      <c r="C4" s="1" t="s">
        <v>1497</v>
      </c>
      <c r="D4" s="1" t="s">
        <v>1512</v>
      </c>
      <c r="E4" s="1" t="s">
        <v>1525</v>
      </c>
    </row>
    <row r="5" spans="1:5">
      <c r="A5" s="1" t="s">
        <v>1478</v>
      </c>
      <c r="B5" s="1" t="s">
        <v>1483</v>
      </c>
      <c r="C5" s="1" t="s">
        <v>1498</v>
      </c>
      <c r="D5" s="1" t="s">
        <v>1513</v>
      </c>
      <c r="E5" s="1" t="s">
        <v>1525</v>
      </c>
    </row>
    <row r="6" spans="1:5">
      <c r="A6" s="1" t="s">
        <v>1478</v>
      </c>
      <c r="B6" s="1" t="s">
        <v>1484</v>
      </c>
      <c r="C6" s="1" t="s">
        <v>1499</v>
      </c>
      <c r="D6" s="1" t="s">
        <v>1514</v>
      </c>
      <c r="E6" s="1" t="s">
        <v>1525</v>
      </c>
    </row>
    <row r="7" spans="1:5">
      <c r="A7" s="1" t="s">
        <v>1477</v>
      </c>
      <c r="B7" s="1" t="s">
        <v>1485</v>
      </c>
      <c r="C7" s="1" t="s">
        <v>1500</v>
      </c>
      <c r="D7" s="1" t="s">
        <v>1515</v>
      </c>
      <c r="E7" s="1" t="s">
        <v>1525</v>
      </c>
    </row>
    <row r="8" spans="1:5">
      <c r="A8" s="1" t="s">
        <v>1477</v>
      </c>
      <c r="B8" s="1" t="s">
        <v>1486</v>
      </c>
      <c r="C8" s="1" t="s">
        <v>1501</v>
      </c>
      <c r="D8" s="1" t="s">
        <v>1516</v>
      </c>
      <c r="E8" s="1" t="s">
        <v>1525</v>
      </c>
    </row>
    <row r="9" spans="1:5">
      <c r="A9" s="1" t="s">
        <v>1477</v>
      </c>
      <c r="B9" s="1" t="s">
        <v>1487</v>
      </c>
      <c r="C9" s="1" t="s">
        <v>1502</v>
      </c>
      <c r="D9" s="1" t="s">
        <v>1517</v>
      </c>
      <c r="E9" s="1" t="s">
        <v>1525</v>
      </c>
    </row>
    <row r="10" spans="1:5">
      <c r="A10" s="1" t="s">
        <v>1478</v>
      </c>
      <c r="B10" s="1" t="s">
        <v>1488</v>
      </c>
      <c r="C10" s="1" t="s">
        <v>1503</v>
      </c>
      <c r="D10" s="1" t="s">
        <v>1518</v>
      </c>
      <c r="E10" s="1" t="s">
        <v>1526</v>
      </c>
    </row>
    <row r="11" spans="1:5">
      <c r="A11" s="1" t="s">
        <v>1478</v>
      </c>
      <c r="B11" s="1" t="s">
        <v>1489</v>
      </c>
      <c r="C11" s="1" t="s">
        <v>1504</v>
      </c>
      <c r="D11" s="1" t="s">
        <v>1519</v>
      </c>
      <c r="E11" s="1" t="s">
        <v>1527</v>
      </c>
    </row>
    <row r="12" spans="1:5">
      <c r="A12" s="1" t="s">
        <v>1478</v>
      </c>
      <c r="B12" s="1" t="s">
        <v>1490</v>
      </c>
      <c r="C12" s="1" t="s">
        <v>1505</v>
      </c>
      <c r="D12" s="1" t="s">
        <v>1520</v>
      </c>
      <c r="E12" s="1" t="s">
        <v>1527</v>
      </c>
    </row>
    <row r="13" spans="1:5">
      <c r="A13" s="1" t="s">
        <v>1478</v>
      </c>
      <c r="B13" s="1" t="s">
        <v>1491</v>
      </c>
      <c r="C13" s="1" t="s">
        <v>1506</v>
      </c>
      <c r="D13" s="1" t="s">
        <v>1521</v>
      </c>
      <c r="E13" s="1" t="s">
        <v>1525</v>
      </c>
    </row>
    <row r="14" spans="1:5">
      <c r="A14" s="1" t="s">
        <v>1479</v>
      </c>
      <c r="B14" s="1" t="s">
        <v>1492</v>
      </c>
      <c r="C14" s="1" t="s">
        <v>1507</v>
      </c>
      <c r="D14" s="1" t="s">
        <v>1522</v>
      </c>
      <c r="E14" s="1" t="s">
        <v>1525</v>
      </c>
    </row>
    <row r="15" spans="1:5">
      <c r="A15" s="1" t="s">
        <v>1479</v>
      </c>
      <c r="B15" s="1" t="s">
        <v>1493</v>
      </c>
      <c r="C15" s="1" t="s">
        <v>1508</v>
      </c>
      <c r="D15" s="1" t="s">
        <v>1523</v>
      </c>
      <c r="E15" s="1" t="s">
        <v>1525</v>
      </c>
    </row>
    <row r="16" spans="1:5">
      <c r="A16" s="1" t="s">
        <v>1479</v>
      </c>
      <c r="B16" s="1" t="s">
        <v>1494</v>
      </c>
      <c r="C16" s="1" t="s">
        <v>1509</v>
      </c>
      <c r="D16" s="1" t="s">
        <v>1524</v>
      </c>
      <c r="E16" s="1" t="s">
        <v>1525</v>
      </c>
    </row>
  </sheetData>
  <autoFilter ref="A1:E16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14.7109375" style="1" customWidth="1"/>
    <col min="3" max="3" width="52.7109375" style="1" customWidth="1"/>
    <col min="4" max="4" width="14.7109375" style="1" customWidth="1"/>
  </cols>
  <sheetData>
    <row r="1" spans="1:4">
      <c r="A1" s="2" t="s">
        <v>1570</v>
      </c>
      <c r="B1" s="2" t="s">
        <v>1571</v>
      </c>
      <c r="C1" s="2" t="s">
        <v>1572</v>
      </c>
      <c r="D1" s="2" t="s">
        <v>1573</v>
      </c>
    </row>
    <row r="2" spans="1:4">
      <c r="A2" s="1" t="s">
        <v>1532</v>
      </c>
      <c r="B2" s="1" t="s">
        <v>1543</v>
      </c>
      <c r="C2" s="1" t="s">
        <v>1552</v>
      </c>
      <c r="D2" s="1" t="s">
        <v>1563</v>
      </c>
    </row>
    <row r="3" spans="1:4">
      <c r="A3" s="1" t="s">
        <v>1533</v>
      </c>
      <c r="B3" s="1" t="s">
        <v>1544</v>
      </c>
      <c r="C3" s="1" t="s">
        <v>1553</v>
      </c>
      <c r="D3" s="1" t="s">
        <v>1563</v>
      </c>
    </row>
    <row r="4" spans="1:4">
      <c r="A4" s="1" t="s">
        <v>1534</v>
      </c>
      <c r="B4" s="1" t="s">
        <v>1545</v>
      </c>
      <c r="C4" s="1" t="s">
        <v>1554</v>
      </c>
      <c r="D4" s="1" t="s">
        <v>1564</v>
      </c>
    </row>
    <row r="5" spans="1:4">
      <c r="A5" s="1" t="s">
        <v>1535</v>
      </c>
      <c r="B5" s="1" t="s">
        <v>1546</v>
      </c>
      <c r="C5" s="1" t="s">
        <v>1555</v>
      </c>
      <c r="D5" s="1" t="s">
        <v>1565</v>
      </c>
    </row>
    <row r="6" spans="1:4">
      <c r="A6" s="1" t="s">
        <v>1536</v>
      </c>
      <c r="B6" s="1" t="s">
        <v>1547</v>
      </c>
      <c r="C6" s="1" t="s">
        <v>1556</v>
      </c>
      <c r="D6" s="1" t="s">
        <v>1563</v>
      </c>
    </row>
    <row r="7" spans="1:4">
      <c r="A7" s="1" t="s">
        <v>1537</v>
      </c>
      <c r="B7" s="1" t="s">
        <v>1548</v>
      </c>
      <c r="C7" s="1" t="s">
        <v>1557</v>
      </c>
      <c r="D7" s="1" t="s">
        <v>1566</v>
      </c>
    </row>
    <row r="8" spans="1:4">
      <c r="A8" s="1" t="s">
        <v>1538</v>
      </c>
      <c r="B8" s="1" t="s">
        <v>1549</v>
      </c>
      <c r="C8" s="1" t="s">
        <v>1558</v>
      </c>
      <c r="D8" s="1" t="s">
        <v>1567</v>
      </c>
    </row>
    <row r="9" spans="1:4">
      <c r="A9" s="1" t="s">
        <v>1539</v>
      </c>
      <c r="B9" s="1" t="s">
        <v>1550</v>
      </c>
      <c r="C9" s="1" t="s">
        <v>1559</v>
      </c>
      <c r="D9" s="1" t="s">
        <v>1568</v>
      </c>
    </row>
    <row r="10" spans="1:4">
      <c r="A10" s="1" t="s">
        <v>1540</v>
      </c>
      <c r="B10" s="1" t="s">
        <v>1551</v>
      </c>
      <c r="C10" s="1" t="s">
        <v>1560</v>
      </c>
      <c r="D10" s="1" t="s">
        <v>1569</v>
      </c>
    </row>
    <row r="11" spans="1:4">
      <c r="A11" s="1" t="s">
        <v>1541</v>
      </c>
      <c r="B11" s="1" t="s">
        <v>1551</v>
      </c>
      <c r="C11" s="1" t="s">
        <v>1561</v>
      </c>
      <c r="D11" s="1" t="s">
        <v>1569</v>
      </c>
    </row>
    <row r="12" spans="1:4">
      <c r="A12" s="1" t="s">
        <v>1542</v>
      </c>
      <c r="B12" s="1" t="s">
        <v>1551</v>
      </c>
      <c r="C12" s="1" t="s">
        <v>1562</v>
      </c>
      <c r="D12" s="1" t="s">
        <v>1569</v>
      </c>
    </row>
  </sheetData>
  <autoFilter ref="A1:D12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50.7109375" style="1" customWidth="1"/>
    <col min="3" max="3" width="29.7109375" style="1" customWidth="1"/>
    <col min="4" max="4" width="14.7109375" style="1" customWidth="1"/>
    <col min="5" max="5" width="60.7109375" style="1" customWidth="1"/>
  </cols>
  <sheetData>
    <row r="1" spans="1:5">
      <c r="A1" s="2" t="s">
        <v>1602</v>
      </c>
      <c r="B1" s="2" t="s">
        <v>1603</v>
      </c>
      <c r="C1" s="2" t="s">
        <v>184</v>
      </c>
      <c r="D1" s="2" t="s">
        <v>1531</v>
      </c>
      <c r="E1" s="2" t="s">
        <v>793</v>
      </c>
    </row>
    <row r="2" spans="1:5">
      <c r="A2" s="1">
        <v>1</v>
      </c>
      <c r="B2" s="1" t="s">
        <v>1574</v>
      </c>
      <c r="C2" s="1" t="s">
        <v>1584</v>
      </c>
      <c r="D2" s="1" t="s">
        <v>1590</v>
      </c>
      <c r="E2" s="1" t="s">
        <v>1592</v>
      </c>
    </row>
    <row r="3" spans="1:5">
      <c r="A3" s="1">
        <v>2</v>
      </c>
      <c r="B3" s="1" t="s">
        <v>1575</v>
      </c>
      <c r="C3" s="1" t="s">
        <v>1584</v>
      </c>
      <c r="D3" s="1" t="s">
        <v>1590</v>
      </c>
      <c r="E3" s="1" t="s">
        <v>1593</v>
      </c>
    </row>
    <row r="4" spans="1:5">
      <c r="A4" s="1">
        <v>3</v>
      </c>
      <c r="B4" s="1" t="s">
        <v>1576</v>
      </c>
      <c r="C4" s="1" t="s">
        <v>1584</v>
      </c>
      <c r="D4" s="1" t="s">
        <v>1590</v>
      </c>
      <c r="E4" s="1" t="s">
        <v>1594</v>
      </c>
    </row>
    <row r="5" spans="1:5">
      <c r="A5" s="1">
        <v>4</v>
      </c>
      <c r="B5" s="1" t="s">
        <v>1577</v>
      </c>
      <c r="C5" s="1" t="s">
        <v>1584</v>
      </c>
      <c r="D5" s="1" t="s">
        <v>1590</v>
      </c>
      <c r="E5" s="1" t="s">
        <v>1595</v>
      </c>
    </row>
    <row r="6" spans="1:5">
      <c r="A6" s="1">
        <v>5</v>
      </c>
      <c r="B6" s="1" t="s">
        <v>1578</v>
      </c>
      <c r="C6" s="1" t="s">
        <v>1585</v>
      </c>
      <c r="D6" s="1" t="s">
        <v>1590</v>
      </c>
      <c r="E6" s="1" t="s">
        <v>1596</v>
      </c>
    </row>
    <row r="7" spans="1:5">
      <c r="A7" s="1">
        <v>6</v>
      </c>
      <c r="B7" s="1" t="s">
        <v>1579</v>
      </c>
      <c r="C7" s="1" t="s">
        <v>1586</v>
      </c>
      <c r="D7" s="1" t="s">
        <v>1590</v>
      </c>
      <c r="E7" s="1" t="s">
        <v>1597</v>
      </c>
    </row>
    <row r="8" spans="1:5">
      <c r="A8" s="1">
        <v>7</v>
      </c>
      <c r="B8" s="1" t="s">
        <v>1580</v>
      </c>
      <c r="C8" s="1" t="s">
        <v>1587</v>
      </c>
      <c r="D8" s="1" t="s">
        <v>1590</v>
      </c>
      <c r="E8" s="1" t="s">
        <v>1598</v>
      </c>
    </row>
    <row r="9" spans="1:5">
      <c r="A9" s="1">
        <v>8</v>
      </c>
      <c r="B9" s="1" t="s">
        <v>1581</v>
      </c>
      <c r="C9" s="1" t="s">
        <v>1588</v>
      </c>
      <c r="D9" s="1" t="s">
        <v>1590</v>
      </c>
      <c r="E9" s="1" t="s">
        <v>1599</v>
      </c>
    </row>
    <row r="10" spans="1:5">
      <c r="A10" s="1">
        <v>9</v>
      </c>
      <c r="B10" s="1" t="s">
        <v>1582</v>
      </c>
      <c r="C10" s="1" t="s">
        <v>1584</v>
      </c>
      <c r="D10" s="1" t="s">
        <v>1590</v>
      </c>
      <c r="E10" s="1" t="s">
        <v>1600</v>
      </c>
    </row>
    <row r="11" spans="1:5">
      <c r="A11" s="1">
        <v>10</v>
      </c>
      <c r="B11" s="1" t="s">
        <v>1583</v>
      </c>
      <c r="C11" s="1" t="s">
        <v>1589</v>
      </c>
      <c r="D11" s="1" t="s">
        <v>1591</v>
      </c>
      <c r="E11" s="1" t="s">
        <v>1601</v>
      </c>
    </row>
  </sheetData>
  <autoFilter ref="A1:E1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4.7109375" style="1" customWidth="1"/>
    <col min="4" max="4" width="17.7109375" style="1" customWidth="1"/>
    <col min="5" max="5" width="14.7109375" style="1" customWidth="1"/>
    <col min="6" max="6" width="20.7109375" style="1" customWidth="1"/>
    <col min="7" max="9" width="14.7109375" style="1" customWidth="1"/>
    <col min="10" max="10" width="57.7109375" style="1" customWidth="1"/>
    <col min="11" max="11" width="14.7109375" style="1" customWidth="1"/>
    <col min="12" max="12" width="16.7109375" style="1" customWidth="1"/>
    <col min="13" max="13" width="49.7109375" style="1" customWidth="1"/>
  </cols>
  <sheetData>
    <row r="1" spans="1:13">
      <c r="A1" s="2" t="s">
        <v>1611</v>
      </c>
      <c r="B1" s="2" t="s">
        <v>1612</v>
      </c>
      <c r="C1" s="2" t="s">
        <v>1613</v>
      </c>
      <c r="D1" s="2" t="s">
        <v>1614</v>
      </c>
      <c r="E1" s="2" t="s">
        <v>1615</v>
      </c>
      <c r="F1" s="2" t="s">
        <v>1616</v>
      </c>
      <c r="G1" s="2" t="s">
        <v>247</v>
      </c>
      <c r="H1" s="2" t="s">
        <v>248</v>
      </c>
      <c r="I1" s="2" t="s">
        <v>249</v>
      </c>
      <c r="J1" s="2" t="s">
        <v>1617</v>
      </c>
      <c r="K1" s="2" t="s">
        <v>1448</v>
      </c>
      <c r="L1" s="2" t="s">
        <v>1618</v>
      </c>
      <c r="M1" s="2" t="s">
        <v>246</v>
      </c>
    </row>
    <row r="2" spans="1:13">
      <c r="A2" s="1" t="s">
        <v>43</v>
      </c>
      <c r="B2" s="1" t="s">
        <v>78</v>
      </c>
      <c r="C2" s="1" t="s">
        <v>49</v>
      </c>
      <c r="D2" s="1" t="s">
        <v>58</v>
      </c>
      <c r="E2" s="1" t="s">
        <v>63</v>
      </c>
      <c r="F2" s="1" t="s">
        <v>68</v>
      </c>
      <c r="G2" s="1">
        <v>9227</v>
      </c>
      <c r="H2" s="1" t="s">
        <v>237</v>
      </c>
      <c r="I2" s="1" t="s">
        <v>211</v>
      </c>
      <c r="J2" s="1" t="s">
        <v>1604</v>
      </c>
      <c r="K2" s="1" t="s">
        <v>1605</v>
      </c>
      <c r="L2" s="1" t="s">
        <v>1606</v>
      </c>
      <c r="M2" s="1" t="s">
        <v>235</v>
      </c>
    </row>
    <row r="3" spans="1:13">
      <c r="A3" s="1" t="s">
        <v>44</v>
      </c>
      <c r="B3" s="1" t="s">
        <v>79</v>
      </c>
      <c r="C3" s="1" t="s">
        <v>50</v>
      </c>
      <c r="D3" s="1" t="s">
        <v>58</v>
      </c>
      <c r="E3" s="1" t="s">
        <v>63</v>
      </c>
      <c r="F3" s="1" t="s">
        <v>68</v>
      </c>
      <c r="G3" s="1">
        <v>9227</v>
      </c>
      <c r="H3" s="1" t="s">
        <v>237</v>
      </c>
      <c r="I3" s="1" t="s">
        <v>211</v>
      </c>
      <c r="J3" s="1" t="s">
        <v>1604</v>
      </c>
      <c r="K3" s="1" t="s">
        <v>1605</v>
      </c>
      <c r="L3" s="1" t="s">
        <v>1606</v>
      </c>
      <c r="M3" s="1" t="s">
        <v>233</v>
      </c>
    </row>
    <row r="4" spans="1:13">
      <c r="A4" s="1" t="s">
        <v>45</v>
      </c>
      <c r="B4" s="1" t="s">
        <v>80</v>
      </c>
      <c r="C4" s="1" t="s">
        <v>51</v>
      </c>
      <c r="D4" s="1" t="s">
        <v>59</v>
      </c>
      <c r="E4" s="1" t="s">
        <v>64</v>
      </c>
      <c r="F4" s="1" t="s">
        <v>69</v>
      </c>
      <c r="G4" s="1">
        <v>9255</v>
      </c>
      <c r="H4" s="1" t="s">
        <v>237</v>
      </c>
      <c r="I4" s="1" t="s">
        <v>211</v>
      </c>
      <c r="J4" s="1" t="s">
        <v>1604</v>
      </c>
      <c r="K4" s="1" t="s">
        <v>1605</v>
      </c>
      <c r="L4" s="1" t="s">
        <v>1607</v>
      </c>
      <c r="M4" s="1" t="s">
        <v>236</v>
      </c>
    </row>
    <row r="5" spans="1:13">
      <c r="A5" s="1" t="s">
        <v>46</v>
      </c>
      <c r="B5" s="1" t="s">
        <v>81</v>
      </c>
      <c r="C5" s="1" t="s">
        <v>52</v>
      </c>
      <c r="D5" s="1" t="s">
        <v>60</v>
      </c>
      <c r="E5" s="1" t="s">
        <v>65</v>
      </c>
      <c r="F5" s="1" t="s">
        <v>70</v>
      </c>
      <c r="G5" s="1">
        <v>9270</v>
      </c>
      <c r="H5" s="1" t="s">
        <v>237</v>
      </c>
      <c r="I5" s="1" t="s">
        <v>211</v>
      </c>
      <c r="J5" s="1" t="s">
        <v>1604</v>
      </c>
      <c r="K5" s="1" t="s">
        <v>1605</v>
      </c>
      <c r="L5" s="1" t="s">
        <v>1608</v>
      </c>
      <c r="M5" s="1" t="s">
        <v>231</v>
      </c>
    </row>
    <row r="6" spans="1:13">
      <c r="A6" s="1" t="s">
        <v>47</v>
      </c>
      <c r="B6" s="1" t="s">
        <v>82</v>
      </c>
      <c r="C6" s="1" t="s">
        <v>53</v>
      </c>
      <c r="D6" s="1" t="s">
        <v>61</v>
      </c>
      <c r="E6" s="1" t="s">
        <v>66</v>
      </c>
      <c r="F6" s="1" t="s">
        <v>71</v>
      </c>
      <c r="G6" s="1">
        <v>8990</v>
      </c>
      <c r="H6" s="1" t="s">
        <v>238</v>
      </c>
      <c r="I6" s="1" t="s">
        <v>211</v>
      </c>
      <c r="J6" s="1" t="s">
        <v>1604</v>
      </c>
      <c r="K6" s="1" t="s">
        <v>1605</v>
      </c>
      <c r="L6" s="1" t="s">
        <v>1609</v>
      </c>
      <c r="M6" s="1" t="s">
        <v>234</v>
      </c>
    </row>
    <row r="7" spans="1:13">
      <c r="A7" s="1" t="s">
        <v>48</v>
      </c>
      <c r="B7" s="1" t="s">
        <v>83</v>
      </c>
      <c r="C7" s="1" t="s">
        <v>54</v>
      </c>
      <c r="D7" s="1" t="s">
        <v>62</v>
      </c>
      <c r="E7" s="1" t="s">
        <v>67</v>
      </c>
      <c r="F7" s="1" t="s">
        <v>72</v>
      </c>
      <c r="G7" s="1">
        <v>9041</v>
      </c>
      <c r="H7" s="1" t="s">
        <v>237</v>
      </c>
      <c r="I7" s="1" t="s">
        <v>211</v>
      </c>
      <c r="J7" s="1" t="s">
        <v>1604</v>
      </c>
      <c r="K7" s="1" t="s">
        <v>1605</v>
      </c>
      <c r="L7" s="1" t="s">
        <v>1610</v>
      </c>
      <c r="M7" s="1" t="s">
        <v>232</v>
      </c>
    </row>
  </sheetData>
  <autoFilter ref="A1:M7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18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4.7109375" style="1" customWidth="1"/>
    <col min="4" max="4" width="46.7109375" style="1" customWidth="1"/>
    <col min="5" max="9" width="14.7109375" style="1" customWidth="1"/>
    <col min="10" max="10" width="60.7109375" style="1" customWidth="1"/>
    <col min="11" max="11" width="58.7109375" style="1" customWidth="1"/>
    <col min="12" max="12" width="14.7109375" style="1" customWidth="1"/>
  </cols>
  <sheetData>
    <row r="1" spans="1:12">
      <c r="A1" s="2" t="s">
        <v>1611</v>
      </c>
      <c r="B1" s="2" t="s">
        <v>1678</v>
      </c>
      <c r="C1" s="2" t="s">
        <v>1679</v>
      </c>
      <c r="D1" s="2" t="s">
        <v>1680</v>
      </c>
      <c r="E1" s="2" t="s">
        <v>247</v>
      </c>
      <c r="F1" s="2" t="s">
        <v>248</v>
      </c>
      <c r="G1" s="2" t="s">
        <v>249</v>
      </c>
      <c r="H1" s="2" t="s">
        <v>1681</v>
      </c>
      <c r="I1" s="2" t="s">
        <v>1682</v>
      </c>
      <c r="J1" s="2" t="s">
        <v>1683</v>
      </c>
      <c r="K1" s="2" t="s">
        <v>246</v>
      </c>
      <c r="L1" s="2" t="s">
        <v>1448</v>
      </c>
    </row>
    <row r="2" spans="1:12">
      <c r="A2" s="1" t="s">
        <v>90</v>
      </c>
      <c r="B2" s="1" t="s">
        <v>1633</v>
      </c>
      <c r="C2" s="1" t="s">
        <v>43</v>
      </c>
      <c r="D2" s="1" t="s">
        <v>1644</v>
      </c>
      <c r="E2" s="1">
        <v>9256</v>
      </c>
      <c r="F2" s="1" t="s">
        <v>237</v>
      </c>
      <c r="G2" s="1" t="s">
        <v>211</v>
      </c>
      <c r="H2" s="1" t="b">
        <v>1</v>
      </c>
      <c r="I2" s="1">
        <v>2</v>
      </c>
      <c r="J2" s="3" t="s">
        <v>1661</v>
      </c>
      <c r="K2" s="1" t="s">
        <v>263</v>
      </c>
      <c r="L2" s="1" t="s">
        <v>1605</v>
      </c>
    </row>
    <row r="3" spans="1:12">
      <c r="A3" s="1" t="s">
        <v>91</v>
      </c>
      <c r="B3" s="1" t="s">
        <v>1633</v>
      </c>
      <c r="C3" s="1" t="s">
        <v>44</v>
      </c>
      <c r="D3" s="1" t="s">
        <v>1645</v>
      </c>
      <c r="E3" s="1">
        <v>4263</v>
      </c>
      <c r="F3" s="1" t="s">
        <v>278</v>
      </c>
      <c r="G3" s="1" t="s">
        <v>211</v>
      </c>
      <c r="H3" s="1" t="b">
        <v>1</v>
      </c>
      <c r="I3" s="1">
        <v>2</v>
      </c>
      <c r="J3" s="3" t="s">
        <v>1662</v>
      </c>
      <c r="K3" s="1" t="s">
        <v>268</v>
      </c>
      <c r="L3" s="1" t="s">
        <v>1605</v>
      </c>
    </row>
    <row r="4" spans="1:12">
      <c r="A4" s="1" t="s">
        <v>1619</v>
      </c>
      <c r="B4" s="1" t="s">
        <v>1633</v>
      </c>
      <c r="C4" s="1" t="s">
        <v>1636</v>
      </c>
      <c r="D4" s="1" t="s">
        <v>1646</v>
      </c>
      <c r="E4" s="1">
        <v>4685</v>
      </c>
      <c r="F4" s="1" t="s">
        <v>274</v>
      </c>
      <c r="G4" s="1" t="s">
        <v>211</v>
      </c>
      <c r="H4" s="1" t="b">
        <v>1</v>
      </c>
      <c r="I4" s="1">
        <v>2</v>
      </c>
      <c r="J4" s="3" t="s">
        <v>1663</v>
      </c>
      <c r="K4" s="1" t="s">
        <v>267</v>
      </c>
      <c r="L4" s="1" t="s">
        <v>1605</v>
      </c>
    </row>
    <row r="5" spans="1:12">
      <c r="A5" s="1" t="s">
        <v>95</v>
      </c>
      <c r="B5" s="1" t="s">
        <v>1633</v>
      </c>
      <c r="C5" s="1" t="s">
        <v>48</v>
      </c>
      <c r="D5" s="1" t="s">
        <v>1647</v>
      </c>
      <c r="E5" s="1">
        <v>3878</v>
      </c>
      <c r="F5" s="1" t="s">
        <v>277</v>
      </c>
      <c r="G5" s="1" t="s">
        <v>211</v>
      </c>
      <c r="H5" s="1" t="b">
        <v>1</v>
      </c>
      <c r="I5" s="1">
        <v>2</v>
      </c>
      <c r="J5" s="3" t="s">
        <v>1664</v>
      </c>
      <c r="K5" s="1" t="s">
        <v>266</v>
      </c>
      <c r="L5" s="1" t="s">
        <v>1605</v>
      </c>
    </row>
    <row r="6" spans="1:12">
      <c r="A6" s="1" t="s">
        <v>1620</v>
      </c>
      <c r="B6" s="1" t="s">
        <v>1633</v>
      </c>
      <c r="C6" s="1" t="s">
        <v>1637</v>
      </c>
      <c r="D6" s="1" t="s">
        <v>1648</v>
      </c>
      <c r="E6" s="1">
        <v>5088</v>
      </c>
      <c r="F6" s="1" t="s">
        <v>276</v>
      </c>
      <c r="G6" s="1" t="s">
        <v>211</v>
      </c>
      <c r="H6" s="1" t="b">
        <v>0</v>
      </c>
      <c r="I6" s="1">
        <v>2</v>
      </c>
      <c r="J6" s="3" t="s">
        <v>1665</v>
      </c>
      <c r="K6" s="1" t="s">
        <v>264</v>
      </c>
      <c r="L6" s="1" t="s">
        <v>1605</v>
      </c>
    </row>
    <row r="7" spans="1:12">
      <c r="A7" s="1" t="s">
        <v>1621</v>
      </c>
      <c r="B7" s="1" t="s">
        <v>1633</v>
      </c>
      <c r="C7" s="1" t="s">
        <v>43</v>
      </c>
      <c r="D7" s="1" t="s">
        <v>1649</v>
      </c>
      <c r="E7" s="1">
        <v>9211</v>
      </c>
      <c r="F7" s="1" t="s">
        <v>237</v>
      </c>
      <c r="G7" s="1" t="s">
        <v>211</v>
      </c>
      <c r="H7" s="1" t="b">
        <v>0</v>
      </c>
      <c r="I7" s="1">
        <v>2</v>
      </c>
      <c r="J7" s="3" t="s">
        <v>1666</v>
      </c>
      <c r="K7" s="1" t="s">
        <v>256</v>
      </c>
      <c r="L7" s="1" t="s">
        <v>1605</v>
      </c>
    </row>
    <row r="8" spans="1:12">
      <c r="A8" s="1" t="s">
        <v>1622</v>
      </c>
      <c r="B8" s="1" t="s">
        <v>1633</v>
      </c>
      <c r="C8" s="1" t="s">
        <v>43</v>
      </c>
      <c r="D8" s="1" t="s">
        <v>1650</v>
      </c>
      <c r="E8" s="1">
        <v>3931</v>
      </c>
      <c r="F8" s="1" t="s">
        <v>275</v>
      </c>
      <c r="G8" s="1" t="s">
        <v>211</v>
      </c>
      <c r="H8" s="1" t="b">
        <v>1</v>
      </c>
      <c r="I8" s="1">
        <v>2</v>
      </c>
      <c r="J8" s="3" t="s">
        <v>1667</v>
      </c>
      <c r="K8" s="1" t="s">
        <v>262</v>
      </c>
      <c r="L8" s="1" t="s">
        <v>1605</v>
      </c>
    </row>
    <row r="9" spans="1:12">
      <c r="A9" s="1" t="s">
        <v>1623</v>
      </c>
      <c r="B9" s="1" t="s">
        <v>1633</v>
      </c>
      <c r="C9" s="1" t="s">
        <v>43</v>
      </c>
      <c r="D9" s="1" t="s">
        <v>1651</v>
      </c>
      <c r="E9" s="1">
        <v>4257</v>
      </c>
      <c r="F9" s="1" t="s">
        <v>269</v>
      </c>
      <c r="G9" s="1" t="s">
        <v>211</v>
      </c>
      <c r="H9" s="1" t="b">
        <v>1</v>
      </c>
      <c r="I9" s="1">
        <v>2</v>
      </c>
      <c r="J9" s="3" t="s">
        <v>1668</v>
      </c>
      <c r="K9" s="1" t="s">
        <v>260</v>
      </c>
      <c r="L9" s="1" t="s">
        <v>1605</v>
      </c>
    </row>
    <row r="10" spans="1:12">
      <c r="A10" s="1" t="s">
        <v>1624</v>
      </c>
      <c r="B10" s="1" t="s">
        <v>1633</v>
      </c>
      <c r="C10" s="1" t="s">
        <v>43</v>
      </c>
      <c r="D10" s="1" t="s">
        <v>1652</v>
      </c>
      <c r="E10" s="1">
        <v>4689</v>
      </c>
      <c r="F10" s="1" t="s">
        <v>274</v>
      </c>
      <c r="G10" s="1" t="s">
        <v>211</v>
      </c>
      <c r="H10" s="1" t="b">
        <v>1</v>
      </c>
      <c r="I10" s="1">
        <v>2</v>
      </c>
      <c r="J10" s="3" t="s">
        <v>1669</v>
      </c>
      <c r="K10" s="1" t="s">
        <v>261</v>
      </c>
      <c r="L10" s="1" t="s">
        <v>1605</v>
      </c>
    </row>
    <row r="11" spans="1:12">
      <c r="A11" s="1" t="s">
        <v>1625</v>
      </c>
      <c r="B11" s="1" t="s">
        <v>1633</v>
      </c>
      <c r="C11" s="1" t="s">
        <v>1638</v>
      </c>
      <c r="D11" s="1" t="s">
        <v>1653</v>
      </c>
      <c r="E11" s="1">
        <v>4254</v>
      </c>
      <c r="F11" s="1" t="s">
        <v>271</v>
      </c>
      <c r="G11" s="1" t="s">
        <v>211</v>
      </c>
      <c r="H11" s="1" t="b">
        <v>1</v>
      </c>
      <c r="I11" s="1">
        <v>2</v>
      </c>
      <c r="J11" s="3" t="s">
        <v>1670</v>
      </c>
      <c r="K11" s="1" t="s">
        <v>255</v>
      </c>
      <c r="L11" s="1" t="s">
        <v>1605</v>
      </c>
    </row>
    <row r="12" spans="1:12">
      <c r="A12" s="1" t="s">
        <v>1626</v>
      </c>
      <c r="B12" s="1" t="s">
        <v>1633</v>
      </c>
      <c r="C12" s="1" t="s">
        <v>1639</v>
      </c>
      <c r="D12" s="1" t="s">
        <v>1654</v>
      </c>
      <c r="E12" s="1">
        <v>4257</v>
      </c>
      <c r="F12" s="1" t="s">
        <v>269</v>
      </c>
      <c r="G12" s="1" t="s">
        <v>211</v>
      </c>
      <c r="H12" s="1" t="b">
        <v>1</v>
      </c>
      <c r="I12" s="1">
        <v>2</v>
      </c>
      <c r="J12" s="3" t="s">
        <v>1671</v>
      </c>
      <c r="K12" s="1" t="s">
        <v>265</v>
      </c>
      <c r="L12" s="1" t="s">
        <v>1605</v>
      </c>
    </row>
    <row r="13" spans="1:12">
      <c r="A13" s="1" t="s">
        <v>1627</v>
      </c>
      <c r="B13" s="1" t="s">
        <v>1633</v>
      </c>
      <c r="C13" s="1" t="s">
        <v>1640</v>
      </c>
      <c r="D13" s="1" t="s">
        <v>1655</v>
      </c>
      <c r="E13" s="1">
        <v>4255</v>
      </c>
      <c r="F13" s="1" t="s">
        <v>269</v>
      </c>
      <c r="G13" s="1" t="s">
        <v>211</v>
      </c>
      <c r="H13" s="1" t="b">
        <v>0</v>
      </c>
      <c r="I13" s="1">
        <v>2</v>
      </c>
      <c r="J13" s="3" t="s">
        <v>1672</v>
      </c>
      <c r="K13" s="1" t="s">
        <v>254</v>
      </c>
      <c r="L13" s="1" t="s">
        <v>1605</v>
      </c>
    </row>
    <row r="14" spans="1:12">
      <c r="A14" s="1" t="s">
        <v>1628</v>
      </c>
      <c r="B14" s="1" t="s">
        <v>1633</v>
      </c>
      <c r="C14" s="1" t="s">
        <v>1641</v>
      </c>
      <c r="D14" s="1" t="s">
        <v>1656</v>
      </c>
      <c r="E14" s="1">
        <v>4255</v>
      </c>
      <c r="F14" s="1" t="s">
        <v>269</v>
      </c>
      <c r="G14" s="1" t="s">
        <v>211</v>
      </c>
      <c r="H14" s="1" t="b">
        <v>0</v>
      </c>
      <c r="I14" s="1">
        <v>2</v>
      </c>
      <c r="J14" s="3" t="s">
        <v>1673</v>
      </c>
      <c r="K14" s="1" t="s">
        <v>252</v>
      </c>
      <c r="L14" s="1" t="s">
        <v>1605</v>
      </c>
    </row>
    <row r="15" spans="1:12">
      <c r="A15" s="1" t="s">
        <v>1629</v>
      </c>
      <c r="B15" s="1" t="s">
        <v>1634</v>
      </c>
      <c r="C15" s="1" t="s">
        <v>1642</v>
      </c>
      <c r="D15" s="1" t="s">
        <v>1657</v>
      </c>
      <c r="E15" s="1">
        <v>7035</v>
      </c>
      <c r="F15" s="1" t="s">
        <v>273</v>
      </c>
      <c r="G15" s="1" t="s">
        <v>211</v>
      </c>
      <c r="H15" s="1" t="b">
        <v>0</v>
      </c>
      <c r="I15" s="1">
        <v>2</v>
      </c>
      <c r="J15" s="3" t="s">
        <v>1674</v>
      </c>
      <c r="K15" s="1" t="s">
        <v>258</v>
      </c>
      <c r="L15" s="1" t="s">
        <v>1605</v>
      </c>
    </row>
    <row r="16" spans="1:12">
      <c r="A16" s="1" t="s">
        <v>1630</v>
      </c>
      <c r="B16" s="1" t="s">
        <v>1634</v>
      </c>
      <c r="C16" s="1" t="s">
        <v>46</v>
      </c>
      <c r="D16" s="1" t="s">
        <v>1658</v>
      </c>
      <c r="E16" s="1">
        <v>5474</v>
      </c>
      <c r="F16" s="1" t="s">
        <v>272</v>
      </c>
      <c r="G16" s="1" t="s">
        <v>211</v>
      </c>
      <c r="H16" s="1" t="b">
        <v>0</v>
      </c>
      <c r="I16" s="1">
        <v>2</v>
      </c>
      <c r="J16" s="3" t="s">
        <v>1675</v>
      </c>
      <c r="K16" s="1" t="s">
        <v>257</v>
      </c>
      <c r="L16" s="1" t="s">
        <v>1605</v>
      </c>
    </row>
    <row r="17" spans="1:12">
      <c r="A17" s="1" t="s">
        <v>1631</v>
      </c>
      <c r="B17" s="1" t="s">
        <v>1634</v>
      </c>
      <c r="C17" s="1" t="s">
        <v>1643</v>
      </c>
      <c r="D17" s="1" t="s">
        <v>1659</v>
      </c>
      <c r="E17" s="1">
        <v>6329</v>
      </c>
      <c r="F17" s="1" t="s">
        <v>273</v>
      </c>
      <c r="G17" s="1" t="s">
        <v>279</v>
      </c>
      <c r="H17" s="1" t="b">
        <v>0</v>
      </c>
      <c r="I17" s="1">
        <v>2</v>
      </c>
      <c r="J17" s="3" t="s">
        <v>1676</v>
      </c>
      <c r="K17" s="1" t="s">
        <v>259</v>
      </c>
      <c r="L17" s="1" t="s">
        <v>1605</v>
      </c>
    </row>
    <row r="18" spans="1:12">
      <c r="A18" s="1" t="s">
        <v>1632</v>
      </c>
      <c r="B18" s="1" t="s">
        <v>1635</v>
      </c>
      <c r="C18" s="1" t="s">
        <v>47</v>
      </c>
      <c r="D18" s="1" t="s">
        <v>1660</v>
      </c>
      <c r="E18" s="1">
        <v>2088</v>
      </c>
      <c r="F18" s="1" t="s">
        <v>270</v>
      </c>
      <c r="G18" s="1" t="s">
        <v>211</v>
      </c>
      <c r="H18" s="1" t="b">
        <v>1</v>
      </c>
      <c r="I18" s="1">
        <v>2</v>
      </c>
      <c r="J18" s="1" t="s">
        <v>1677</v>
      </c>
      <c r="K18" s="1" t="s">
        <v>253</v>
      </c>
      <c r="L18" s="1" t="s">
        <v>1605</v>
      </c>
    </row>
  </sheetData>
  <autoFilter ref="A1:L18"/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style="1" customWidth="1"/>
  </cols>
  <sheetData>
    <row r="1" spans="1:7">
      <c r="A1" s="2" t="s">
        <v>1611</v>
      </c>
      <c r="B1" s="2" t="s">
        <v>1684</v>
      </c>
      <c r="C1" s="2" t="s">
        <v>1685</v>
      </c>
      <c r="D1" s="2" t="s">
        <v>803</v>
      </c>
      <c r="E1" s="2" t="s">
        <v>1686</v>
      </c>
      <c r="F1" s="2" t="s">
        <v>1687</v>
      </c>
      <c r="G1" s="2" t="s">
        <v>1688</v>
      </c>
    </row>
    <row r="2" spans="1:7">
      <c r="A2" s="1" t="s">
        <v>46</v>
      </c>
      <c r="B2" s="1">
        <v>2013</v>
      </c>
      <c r="C2" s="1">
        <v>3559</v>
      </c>
      <c r="D2" s="1">
        <v>15</v>
      </c>
      <c r="E2" s="1">
        <v>6</v>
      </c>
      <c r="F2" s="1">
        <v>8</v>
      </c>
      <c r="G2" s="1">
        <v>3530</v>
      </c>
    </row>
  </sheetData>
  <autoFilter ref="A1:G2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style="1" customWidth="1"/>
  </cols>
  <sheetData>
    <row r="1" spans="1:6">
      <c r="A1" s="2" t="s">
        <v>1611</v>
      </c>
      <c r="B1" s="2" t="s">
        <v>1689</v>
      </c>
      <c r="C1" s="2" t="s">
        <v>1690</v>
      </c>
      <c r="D1" s="2" t="s">
        <v>248</v>
      </c>
      <c r="E1" s="2" t="s">
        <v>249</v>
      </c>
      <c r="F1" s="2" t="s">
        <v>1691</v>
      </c>
    </row>
    <row r="2" spans="1:6">
      <c r="A2" s="1" t="s">
        <v>43</v>
      </c>
      <c r="B2" s="1">
        <v>3755</v>
      </c>
      <c r="C2" s="1">
        <v>325</v>
      </c>
      <c r="D2" s="1" t="s">
        <v>208</v>
      </c>
      <c r="E2" s="1" t="s">
        <v>211</v>
      </c>
      <c r="F2" s="1">
        <v>78</v>
      </c>
    </row>
    <row r="3" spans="1:6">
      <c r="A3" s="1" t="s">
        <v>44</v>
      </c>
      <c r="B3" s="1">
        <v>3733</v>
      </c>
      <c r="C3" s="1">
        <v>341</v>
      </c>
      <c r="D3" s="1" t="s">
        <v>208</v>
      </c>
      <c r="E3" s="1" t="s">
        <v>211</v>
      </c>
      <c r="F3" s="1">
        <v>78</v>
      </c>
    </row>
    <row r="4" spans="1:6">
      <c r="A4" s="1" t="s">
        <v>45</v>
      </c>
      <c r="B4" s="1">
        <v>3728</v>
      </c>
      <c r="C4" s="1">
        <v>352</v>
      </c>
      <c r="D4" s="1" t="s">
        <v>208</v>
      </c>
      <c r="E4" s="1" t="s">
        <v>211</v>
      </c>
      <c r="F4" s="1">
        <v>102</v>
      </c>
    </row>
    <row r="5" spans="1:6">
      <c r="A5" s="1" t="s">
        <v>46</v>
      </c>
      <c r="B5" s="1">
        <v>3307</v>
      </c>
      <c r="C5" s="1">
        <v>244</v>
      </c>
      <c r="D5" s="1" t="s">
        <v>209</v>
      </c>
      <c r="E5" s="1" t="s">
        <v>211</v>
      </c>
      <c r="F5" s="1">
        <v>102</v>
      </c>
    </row>
    <row r="6" spans="1:6">
      <c r="A6" s="1" t="s">
        <v>47</v>
      </c>
      <c r="B6" s="1">
        <v>3543</v>
      </c>
      <c r="C6" s="1">
        <v>537</v>
      </c>
      <c r="D6" s="1" t="s">
        <v>210</v>
      </c>
      <c r="E6" s="1" t="s">
        <v>211</v>
      </c>
      <c r="F6" s="1">
        <v>60</v>
      </c>
    </row>
    <row r="7" spans="1:6">
      <c r="A7" s="1" t="s">
        <v>48</v>
      </c>
      <c r="B7" s="1">
        <v>3576</v>
      </c>
      <c r="C7" s="1">
        <v>504</v>
      </c>
      <c r="D7" s="1" t="s">
        <v>208</v>
      </c>
      <c r="E7" s="1" t="s">
        <v>211</v>
      </c>
      <c r="F7" s="1">
        <v>66</v>
      </c>
    </row>
  </sheetData>
  <autoFilter ref="A1:F7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R2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4.7109375" style="1" customWidth="1"/>
    <col min="4" max="4" width="47.7109375" style="1" customWidth="1"/>
    <col min="5" max="5" width="22.7109375" style="1" customWidth="1"/>
    <col min="6" max="6" width="15.7109375" style="1" customWidth="1"/>
    <col min="7" max="13" width="14.7109375" style="1" customWidth="1"/>
    <col min="14" max="14" width="37.7109375" style="1" customWidth="1"/>
    <col min="15" max="15" width="16.7109375" style="1" customWidth="1"/>
    <col min="16" max="16" width="30.7109375" style="1" customWidth="1"/>
    <col min="17" max="17" width="55.7109375" style="1" customWidth="1"/>
    <col min="18" max="18" width="14.7109375" style="1" customWidth="1"/>
  </cols>
  <sheetData>
    <row r="1" spans="1:18">
      <c r="A1" s="2" t="s">
        <v>100</v>
      </c>
      <c r="B1" s="2" t="s">
        <v>1814</v>
      </c>
      <c r="C1" s="2" t="s">
        <v>748</v>
      </c>
      <c r="D1" s="2" t="s">
        <v>687</v>
      </c>
      <c r="E1" s="2" t="s">
        <v>1815</v>
      </c>
      <c r="F1" s="2" t="s">
        <v>1816</v>
      </c>
      <c r="G1" s="2" t="s">
        <v>1817</v>
      </c>
      <c r="H1" s="2" t="s">
        <v>1456</v>
      </c>
      <c r="I1" s="2" t="s">
        <v>1457</v>
      </c>
      <c r="J1" s="2" t="s">
        <v>1818</v>
      </c>
      <c r="K1" s="2" t="s">
        <v>1819</v>
      </c>
      <c r="L1" s="2" t="s">
        <v>1820</v>
      </c>
      <c r="M1" s="2" t="s">
        <v>1821</v>
      </c>
      <c r="N1" s="2" t="s">
        <v>1822</v>
      </c>
      <c r="O1" s="2" t="s">
        <v>1823</v>
      </c>
      <c r="P1" s="2" t="s">
        <v>175</v>
      </c>
      <c r="Q1" s="2" t="s">
        <v>1824</v>
      </c>
      <c r="R1" s="2" t="s">
        <v>184</v>
      </c>
    </row>
    <row r="2" spans="1:18">
      <c r="A2" s="1" t="s">
        <v>1692</v>
      </c>
      <c r="B2" s="1" t="s">
        <v>1714</v>
      </c>
      <c r="C2" s="1" t="s">
        <v>1726</v>
      </c>
      <c r="D2" s="1" t="s">
        <v>1731</v>
      </c>
      <c r="E2" s="1" t="s">
        <v>1753</v>
      </c>
      <c r="F2" s="1" t="s">
        <v>1762</v>
      </c>
      <c r="G2" s="1">
        <v>9196</v>
      </c>
      <c r="H2" s="1" t="s">
        <v>237</v>
      </c>
      <c r="I2" s="1" t="s">
        <v>211</v>
      </c>
      <c r="J2" s="1">
        <v>2</v>
      </c>
      <c r="K2" s="1" t="b">
        <v>1</v>
      </c>
      <c r="L2" s="1">
        <v>0</v>
      </c>
      <c r="M2" s="1">
        <v>0</v>
      </c>
      <c r="N2" s="1" t="s">
        <v>1775</v>
      </c>
      <c r="O2" s="1" t="s">
        <v>1777</v>
      </c>
      <c r="P2" s="1" t="s">
        <v>1791</v>
      </c>
      <c r="Q2" s="1" t="s">
        <v>1792</v>
      </c>
      <c r="R2" s="1" t="s">
        <v>1605</v>
      </c>
    </row>
    <row r="3" spans="1:18">
      <c r="A3" s="1" t="s">
        <v>1693</v>
      </c>
      <c r="B3" s="1" t="s">
        <v>1715</v>
      </c>
      <c r="C3" s="1" t="s">
        <v>1726</v>
      </c>
      <c r="D3" s="1" t="s">
        <v>1732</v>
      </c>
      <c r="E3" s="1" t="s">
        <v>1753</v>
      </c>
      <c r="F3" s="1" t="s">
        <v>1763</v>
      </c>
      <c r="G3" s="1">
        <v>9196</v>
      </c>
      <c r="H3" s="1" t="s">
        <v>237</v>
      </c>
      <c r="I3" s="1" t="s">
        <v>211</v>
      </c>
      <c r="J3" s="1">
        <v>2</v>
      </c>
      <c r="K3" s="1" t="b">
        <v>1</v>
      </c>
      <c r="L3" s="1">
        <v>0</v>
      </c>
      <c r="M3" s="1">
        <v>0</v>
      </c>
      <c r="N3" s="1" t="s">
        <v>1775</v>
      </c>
      <c r="O3" s="1" t="s">
        <v>1777</v>
      </c>
      <c r="P3" s="1" t="s">
        <v>1791</v>
      </c>
      <c r="Q3" s="1" t="s">
        <v>1793</v>
      </c>
      <c r="R3" s="1" t="s">
        <v>1605</v>
      </c>
    </row>
    <row r="4" spans="1:18">
      <c r="A4" s="1" t="s">
        <v>1694</v>
      </c>
      <c r="B4" s="1" t="s">
        <v>1716</v>
      </c>
      <c r="C4" s="1" t="s">
        <v>1726</v>
      </c>
      <c r="D4" s="1" t="s">
        <v>1733</v>
      </c>
      <c r="E4" s="1" t="s">
        <v>1753</v>
      </c>
      <c r="F4" s="1" t="s">
        <v>1764</v>
      </c>
      <c r="G4" s="1">
        <v>9196</v>
      </c>
      <c r="H4" s="1" t="s">
        <v>237</v>
      </c>
      <c r="I4" s="1" t="s">
        <v>211</v>
      </c>
      <c r="J4" s="1">
        <v>2</v>
      </c>
      <c r="K4" s="1" t="b">
        <v>1</v>
      </c>
      <c r="L4" s="1">
        <v>0</v>
      </c>
      <c r="M4" s="1">
        <v>0</v>
      </c>
      <c r="N4" s="1" t="s">
        <v>1775</v>
      </c>
      <c r="O4" s="1" t="s">
        <v>1777</v>
      </c>
      <c r="P4" s="1" t="s">
        <v>1791</v>
      </c>
      <c r="Q4" s="1" t="s">
        <v>1794</v>
      </c>
      <c r="R4" s="1" t="s">
        <v>1605</v>
      </c>
    </row>
    <row r="5" spans="1:18">
      <c r="A5" s="1" t="s">
        <v>1695</v>
      </c>
      <c r="B5" s="1" t="s">
        <v>1717</v>
      </c>
      <c r="C5" s="1" t="s">
        <v>1726</v>
      </c>
      <c r="D5" s="1" t="s">
        <v>1734</v>
      </c>
      <c r="E5" s="1" t="s">
        <v>1753</v>
      </c>
      <c r="F5" s="1" t="s">
        <v>1765</v>
      </c>
      <c r="G5" s="1">
        <v>9196</v>
      </c>
      <c r="H5" s="1" t="s">
        <v>237</v>
      </c>
      <c r="I5" s="1" t="s">
        <v>211</v>
      </c>
      <c r="J5" s="1">
        <v>2</v>
      </c>
      <c r="K5" s="1" t="b">
        <v>1</v>
      </c>
      <c r="L5" s="1">
        <v>0</v>
      </c>
      <c r="M5" s="1">
        <v>0</v>
      </c>
      <c r="N5" s="1" t="s">
        <v>1775</v>
      </c>
      <c r="O5" s="1" t="s">
        <v>1777</v>
      </c>
      <c r="P5" s="1" t="s">
        <v>1791</v>
      </c>
      <c r="Q5" s="1" t="s">
        <v>1795</v>
      </c>
      <c r="R5" s="1" t="s">
        <v>1605</v>
      </c>
    </row>
    <row r="6" spans="1:18">
      <c r="A6" s="1" t="s">
        <v>1696</v>
      </c>
      <c r="B6" s="1" t="s">
        <v>1718</v>
      </c>
      <c r="C6" s="1" t="s">
        <v>1727</v>
      </c>
      <c r="D6" s="1" t="s">
        <v>1735</v>
      </c>
      <c r="E6" s="1" t="s">
        <v>1754</v>
      </c>
      <c r="F6" s="1" t="s">
        <v>1766</v>
      </c>
      <c r="G6" s="1">
        <v>9336</v>
      </c>
      <c r="H6" s="1" t="s">
        <v>586</v>
      </c>
      <c r="I6" s="1" t="s">
        <v>211</v>
      </c>
      <c r="J6" s="1">
        <v>2</v>
      </c>
      <c r="K6" s="1" t="b">
        <v>1</v>
      </c>
      <c r="L6" s="1">
        <v>0</v>
      </c>
      <c r="M6" s="1">
        <v>0</v>
      </c>
      <c r="N6" s="1" t="s">
        <v>1775</v>
      </c>
      <c r="O6" s="1" t="s">
        <v>1778</v>
      </c>
      <c r="P6" s="1" t="s">
        <v>1791</v>
      </c>
      <c r="Q6" s="1" t="s">
        <v>1796</v>
      </c>
      <c r="R6" s="1" t="s">
        <v>1605</v>
      </c>
    </row>
    <row r="7" spans="1:18">
      <c r="A7" s="1" t="s">
        <v>1697</v>
      </c>
      <c r="B7" s="1" t="s">
        <v>1719</v>
      </c>
      <c r="C7" s="1" t="s">
        <v>1727</v>
      </c>
      <c r="D7" s="1" t="s">
        <v>1736</v>
      </c>
      <c r="E7" s="1" t="s">
        <v>1755</v>
      </c>
      <c r="F7" s="1" t="s">
        <v>1767</v>
      </c>
      <c r="G7" s="1">
        <v>5896</v>
      </c>
      <c r="H7" s="1" t="s">
        <v>587</v>
      </c>
      <c r="I7" s="1" t="s">
        <v>211</v>
      </c>
      <c r="J7" s="1">
        <v>2</v>
      </c>
      <c r="K7" s="1" t="b">
        <v>1</v>
      </c>
      <c r="L7" s="1">
        <v>128</v>
      </c>
      <c r="M7" s="1">
        <v>2.17</v>
      </c>
      <c r="N7" s="1" t="s">
        <v>1776</v>
      </c>
      <c r="O7" s="1" t="s">
        <v>1779</v>
      </c>
      <c r="P7" s="1" t="s">
        <v>1791</v>
      </c>
      <c r="Q7" s="1" t="s">
        <v>1797</v>
      </c>
      <c r="R7" s="1" t="s">
        <v>1605</v>
      </c>
    </row>
    <row r="8" spans="1:18">
      <c r="A8" s="1" t="s">
        <v>1698</v>
      </c>
      <c r="B8" s="1" t="s">
        <v>1720</v>
      </c>
      <c r="C8" s="1" t="s">
        <v>1727</v>
      </c>
      <c r="D8" s="1" t="s">
        <v>1737</v>
      </c>
      <c r="E8" s="1" t="s">
        <v>1756</v>
      </c>
      <c r="F8" s="1" t="s">
        <v>1768</v>
      </c>
      <c r="G8" s="1">
        <v>7730</v>
      </c>
      <c r="H8" s="1" t="s">
        <v>595</v>
      </c>
      <c r="I8" s="1" t="s">
        <v>211</v>
      </c>
      <c r="J8" s="1">
        <v>2</v>
      </c>
      <c r="K8" s="1" t="b">
        <v>1</v>
      </c>
      <c r="L8" s="1">
        <v>275</v>
      </c>
      <c r="M8" s="1">
        <v>3.56</v>
      </c>
      <c r="N8" s="1" t="s">
        <v>1776</v>
      </c>
      <c r="O8" s="1" t="s">
        <v>1780</v>
      </c>
      <c r="P8" s="1" t="s">
        <v>1791</v>
      </c>
      <c r="Q8" s="1" t="s">
        <v>1798</v>
      </c>
      <c r="R8" s="1" t="s">
        <v>1605</v>
      </c>
    </row>
    <row r="9" spans="1:18">
      <c r="A9" s="1" t="s">
        <v>1699</v>
      </c>
      <c r="B9" s="1" t="s">
        <v>1721</v>
      </c>
      <c r="C9" s="1" t="s">
        <v>1727</v>
      </c>
      <c r="D9" s="1" t="s">
        <v>1738</v>
      </c>
      <c r="E9" s="1" t="s">
        <v>1757</v>
      </c>
      <c r="F9" s="1" t="s">
        <v>1769</v>
      </c>
      <c r="G9" s="1">
        <v>5909</v>
      </c>
      <c r="H9" s="1" t="s">
        <v>587</v>
      </c>
      <c r="I9" s="1" t="s">
        <v>22</v>
      </c>
      <c r="J9" s="1">
        <v>2</v>
      </c>
      <c r="K9" s="1" t="b">
        <v>1</v>
      </c>
      <c r="L9" s="1">
        <v>103</v>
      </c>
      <c r="M9" s="1">
        <v>1.74</v>
      </c>
      <c r="N9" s="1" t="s">
        <v>1776</v>
      </c>
      <c r="O9" s="1" t="s">
        <v>1781</v>
      </c>
      <c r="P9" s="1" t="s">
        <v>1791</v>
      </c>
      <c r="Q9" s="1" t="s">
        <v>1799</v>
      </c>
      <c r="R9" s="1" t="s">
        <v>1605</v>
      </c>
    </row>
    <row r="10" spans="1:18">
      <c r="A10" s="1" t="s">
        <v>1700</v>
      </c>
      <c r="B10" s="1" t="s">
        <v>1722</v>
      </c>
      <c r="C10" s="1" t="s">
        <v>1727</v>
      </c>
      <c r="D10" s="1" t="s">
        <v>1739</v>
      </c>
      <c r="E10" s="1" t="s">
        <v>1758</v>
      </c>
      <c r="F10" s="1" t="s">
        <v>1770</v>
      </c>
      <c r="G10" s="1">
        <v>6355</v>
      </c>
      <c r="H10" s="1" t="s">
        <v>594</v>
      </c>
      <c r="I10" s="1" t="s">
        <v>22</v>
      </c>
      <c r="J10" s="1">
        <v>2</v>
      </c>
      <c r="K10" s="1" t="b">
        <v>1</v>
      </c>
      <c r="L10" s="1">
        <v>115</v>
      </c>
      <c r="M10" s="1">
        <v>1.81</v>
      </c>
      <c r="N10" s="1" t="s">
        <v>1776</v>
      </c>
      <c r="O10" s="1" t="s">
        <v>1782</v>
      </c>
      <c r="P10" s="1" t="s">
        <v>1791</v>
      </c>
      <c r="Q10" s="1" t="s">
        <v>1800</v>
      </c>
      <c r="R10" s="1" t="s">
        <v>1605</v>
      </c>
    </row>
    <row r="11" spans="1:18">
      <c r="A11" s="1" t="s">
        <v>1701</v>
      </c>
      <c r="B11" s="1" t="s">
        <v>1723</v>
      </c>
      <c r="C11" s="1" t="s">
        <v>1728</v>
      </c>
      <c r="D11" s="1" t="s">
        <v>1740</v>
      </c>
      <c r="E11" s="1" t="s">
        <v>1759</v>
      </c>
      <c r="F11" s="1" t="s">
        <v>1771</v>
      </c>
      <c r="G11" s="1">
        <v>6527</v>
      </c>
      <c r="H11" s="1" t="s">
        <v>596</v>
      </c>
      <c r="I11" s="1" t="s">
        <v>211</v>
      </c>
      <c r="J11" s="1">
        <v>2</v>
      </c>
      <c r="K11" s="1" t="b">
        <v>1</v>
      </c>
      <c r="L11" s="1">
        <v>7</v>
      </c>
      <c r="M11" s="1">
        <v>0.11</v>
      </c>
      <c r="N11" s="1" t="s">
        <v>1776</v>
      </c>
      <c r="O11" s="1" t="s">
        <v>1783</v>
      </c>
      <c r="P11" s="1" t="s">
        <v>1791</v>
      </c>
      <c r="Q11" s="1" t="s">
        <v>1801</v>
      </c>
      <c r="R11" s="1" t="s">
        <v>1605</v>
      </c>
    </row>
    <row r="12" spans="1:18">
      <c r="A12" s="1" t="s">
        <v>1702</v>
      </c>
      <c r="B12" s="1" t="s">
        <v>1724</v>
      </c>
      <c r="C12" s="1" t="s">
        <v>1728</v>
      </c>
      <c r="D12" s="1" t="s">
        <v>1741</v>
      </c>
      <c r="E12" s="1" t="s">
        <v>1759</v>
      </c>
      <c r="F12" s="1" t="s">
        <v>1772</v>
      </c>
      <c r="G12" s="1">
        <v>4745</v>
      </c>
      <c r="H12" s="1" t="s">
        <v>585</v>
      </c>
      <c r="I12" s="1" t="s">
        <v>211</v>
      </c>
      <c r="J12" s="1">
        <v>2</v>
      </c>
      <c r="K12" s="1" t="b">
        <v>1</v>
      </c>
      <c r="L12" s="1">
        <v>69</v>
      </c>
      <c r="M12" s="1">
        <v>1.45</v>
      </c>
      <c r="N12" s="1" t="s">
        <v>1776</v>
      </c>
      <c r="O12" s="1" t="s">
        <v>1784</v>
      </c>
      <c r="P12" s="1" t="s">
        <v>1791</v>
      </c>
      <c r="Q12" s="1" t="s">
        <v>1802</v>
      </c>
      <c r="R12" s="1" t="s">
        <v>1605</v>
      </c>
    </row>
    <row r="13" spans="1:18">
      <c r="A13" s="1" t="s">
        <v>1703</v>
      </c>
      <c r="B13" s="1" t="s">
        <v>1725</v>
      </c>
      <c r="C13" s="1" t="s">
        <v>1728</v>
      </c>
      <c r="D13" s="1" t="s">
        <v>1742</v>
      </c>
      <c r="E13" s="1" t="s">
        <v>1760</v>
      </c>
      <c r="F13" s="1" t="s">
        <v>138</v>
      </c>
      <c r="G13" s="1">
        <v>6518</v>
      </c>
      <c r="H13" s="1" t="s">
        <v>589</v>
      </c>
      <c r="I13" s="1" t="s">
        <v>211</v>
      </c>
      <c r="J13" s="1">
        <v>2</v>
      </c>
      <c r="K13" s="1" t="b">
        <v>1</v>
      </c>
      <c r="L13" s="1">
        <v>441</v>
      </c>
      <c r="M13" s="1">
        <v>6.77</v>
      </c>
      <c r="N13" s="1" t="s">
        <v>1776</v>
      </c>
      <c r="O13" s="1" t="s">
        <v>1785</v>
      </c>
      <c r="P13" s="1" t="s">
        <v>1791</v>
      </c>
      <c r="Q13" s="1" t="s">
        <v>1803</v>
      </c>
      <c r="R13" s="1" t="s">
        <v>1605</v>
      </c>
    </row>
    <row r="14" spans="1:18">
      <c r="A14" s="1" t="s">
        <v>1704</v>
      </c>
      <c r="B14" s="1" t="s">
        <v>1704</v>
      </c>
      <c r="C14" s="1" t="s">
        <v>1729</v>
      </c>
      <c r="D14" s="1" t="s">
        <v>1743</v>
      </c>
      <c r="E14" s="1" t="s">
        <v>1761</v>
      </c>
      <c r="F14" s="1" t="s">
        <v>1773</v>
      </c>
      <c r="G14" s="1">
        <v>4873</v>
      </c>
      <c r="H14" s="1" t="s">
        <v>590</v>
      </c>
      <c r="I14" s="1" t="s">
        <v>211</v>
      </c>
      <c r="J14" s="1">
        <v>2</v>
      </c>
      <c r="K14" s="1" t="b">
        <v>1</v>
      </c>
      <c r="L14" s="1">
        <v>0</v>
      </c>
      <c r="M14" s="1">
        <v>0</v>
      </c>
      <c r="N14" s="1" t="s">
        <v>1775</v>
      </c>
      <c r="O14" s="1" t="s">
        <v>1786</v>
      </c>
      <c r="P14" s="1" t="s">
        <v>1791</v>
      </c>
      <c r="Q14" s="1" t="s">
        <v>1804</v>
      </c>
      <c r="R14" s="1" t="s">
        <v>1605</v>
      </c>
    </row>
    <row r="15" spans="1:18">
      <c r="A15" s="1" t="s">
        <v>1705</v>
      </c>
      <c r="B15" s="1" t="s">
        <v>1705</v>
      </c>
      <c r="C15" s="1" t="s">
        <v>1729</v>
      </c>
      <c r="D15" s="1" t="s">
        <v>1744</v>
      </c>
      <c r="E15" s="1" t="s">
        <v>1761</v>
      </c>
      <c r="F15" s="1" t="s">
        <v>1774</v>
      </c>
      <c r="G15" s="1">
        <v>6055</v>
      </c>
      <c r="H15" s="1" t="s">
        <v>591</v>
      </c>
      <c r="I15" s="1" t="s">
        <v>211</v>
      </c>
      <c r="J15" s="1">
        <v>2</v>
      </c>
      <c r="K15" s="1" t="b">
        <v>1</v>
      </c>
      <c r="L15" s="1">
        <v>0</v>
      </c>
      <c r="M15" s="1">
        <v>0</v>
      </c>
      <c r="N15" s="1" t="s">
        <v>1775</v>
      </c>
      <c r="O15" s="1" t="s">
        <v>1787</v>
      </c>
      <c r="P15" s="1" t="s">
        <v>1791</v>
      </c>
      <c r="Q15" s="1" t="s">
        <v>1805</v>
      </c>
      <c r="R15" s="1" t="s">
        <v>1605</v>
      </c>
    </row>
    <row r="16" spans="1:18">
      <c r="A16" s="1" t="s">
        <v>1706</v>
      </c>
      <c r="B16" s="1" t="s">
        <v>1706</v>
      </c>
      <c r="C16" s="1" t="s">
        <v>1729</v>
      </c>
      <c r="D16" s="1" t="s">
        <v>1745</v>
      </c>
      <c r="E16" s="1" t="s">
        <v>1761</v>
      </c>
      <c r="F16" s="1" t="s">
        <v>138</v>
      </c>
      <c r="G16" s="1">
        <v>6055</v>
      </c>
      <c r="H16" s="1" t="s">
        <v>591</v>
      </c>
      <c r="I16" s="1" t="s">
        <v>211</v>
      </c>
      <c r="J16" s="1">
        <v>2</v>
      </c>
      <c r="K16" s="1" t="b">
        <v>1</v>
      </c>
      <c r="L16" s="1">
        <v>0</v>
      </c>
      <c r="M16" s="1">
        <v>0</v>
      </c>
      <c r="N16" s="1" t="s">
        <v>1775</v>
      </c>
      <c r="O16" s="1" t="s">
        <v>1787</v>
      </c>
      <c r="P16" s="1" t="s">
        <v>1791</v>
      </c>
      <c r="Q16" s="1" t="s">
        <v>1806</v>
      </c>
      <c r="R16" s="1" t="s">
        <v>1605</v>
      </c>
    </row>
    <row r="17" spans="1:18">
      <c r="A17" s="1" t="s">
        <v>1707</v>
      </c>
      <c r="B17" s="1" t="s">
        <v>1707</v>
      </c>
      <c r="C17" s="1" t="s">
        <v>1729</v>
      </c>
      <c r="D17" s="1" t="s">
        <v>1746</v>
      </c>
      <c r="E17" s="1" t="s">
        <v>1761</v>
      </c>
      <c r="F17" s="1" t="s">
        <v>138</v>
      </c>
      <c r="G17" s="1">
        <v>6055</v>
      </c>
      <c r="H17" s="1" t="s">
        <v>591</v>
      </c>
      <c r="I17" s="1" t="s">
        <v>211</v>
      </c>
      <c r="J17" s="1">
        <v>2</v>
      </c>
      <c r="K17" s="1" t="b">
        <v>1</v>
      </c>
      <c r="L17" s="1">
        <v>0</v>
      </c>
      <c r="M17" s="1">
        <v>0</v>
      </c>
      <c r="N17" s="1" t="s">
        <v>1775</v>
      </c>
      <c r="O17" s="1" t="s">
        <v>1787</v>
      </c>
      <c r="P17" s="1" t="s">
        <v>1791</v>
      </c>
      <c r="Q17" s="1" t="s">
        <v>1807</v>
      </c>
      <c r="R17" s="1" t="s">
        <v>1605</v>
      </c>
    </row>
    <row r="18" spans="1:18">
      <c r="A18" s="1" t="s">
        <v>1708</v>
      </c>
      <c r="B18" s="1" t="s">
        <v>1708</v>
      </c>
      <c r="C18" s="1" t="s">
        <v>1730</v>
      </c>
      <c r="D18" s="1" t="s">
        <v>1747</v>
      </c>
      <c r="E18" s="1" t="s">
        <v>1761</v>
      </c>
      <c r="F18" s="1" t="s">
        <v>138</v>
      </c>
      <c r="G18" s="1">
        <v>8448</v>
      </c>
      <c r="H18" s="1" t="s">
        <v>593</v>
      </c>
      <c r="I18" s="1" t="s">
        <v>211</v>
      </c>
      <c r="J18" s="1">
        <v>2</v>
      </c>
      <c r="K18" s="1" t="b">
        <v>1</v>
      </c>
      <c r="L18" s="1">
        <v>0</v>
      </c>
      <c r="M18" s="1">
        <v>0</v>
      </c>
      <c r="N18" s="1" t="s">
        <v>1775</v>
      </c>
      <c r="O18" s="1" t="s">
        <v>1788</v>
      </c>
      <c r="P18" s="1" t="s">
        <v>1791</v>
      </c>
      <c r="Q18" s="1" t="s">
        <v>1808</v>
      </c>
      <c r="R18" s="1" t="s">
        <v>1605</v>
      </c>
    </row>
    <row r="19" spans="1:18">
      <c r="A19" s="1" t="s">
        <v>1709</v>
      </c>
      <c r="B19" s="1" t="s">
        <v>1709</v>
      </c>
      <c r="C19" s="1" t="s">
        <v>1730</v>
      </c>
      <c r="D19" s="1" t="s">
        <v>1748</v>
      </c>
      <c r="E19" s="1" t="s">
        <v>1761</v>
      </c>
      <c r="F19" s="1" t="s">
        <v>138</v>
      </c>
      <c r="G19" s="1">
        <v>6906</v>
      </c>
      <c r="H19" s="1" t="s">
        <v>592</v>
      </c>
      <c r="I19" s="1" t="s">
        <v>211</v>
      </c>
      <c r="J19" s="1">
        <v>2</v>
      </c>
      <c r="K19" s="1" t="b">
        <v>1</v>
      </c>
      <c r="L19" s="1">
        <v>0</v>
      </c>
      <c r="M19" s="1">
        <v>0</v>
      </c>
      <c r="N19" s="1" t="s">
        <v>1775</v>
      </c>
      <c r="O19" s="1" t="s">
        <v>1789</v>
      </c>
      <c r="P19" s="1" t="s">
        <v>1791</v>
      </c>
      <c r="Q19" s="1" t="s">
        <v>1809</v>
      </c>
      <c r="R19" s="1" t="s">
        <v>1605</v>
      </c>
    </row>
    <row r="20" spans="1:18">
      <c r="A20" s="1" t="s">
        <v>1710</v>
      </c>
      <c r="B20" s="1" t="s">
        <v>1710</v>
      </c>
      <c r="C20" s="1" t="s">
        <v>1730</v>
      </c>
      <c r="D20" s="1" t="s">
        <v>1749</v>
      </c>
      <c r="E20" s="1" t="s">
        <v>1761</v>
      </c>
      <c r="F20" s="1" t="s">
        <v>138</v>
      </c>
      <c r="G20" s="1">
        <v>7657</v>
      </c>
      <c r="H20" s="1" t="s">
        <v>588</v>
      </c>
      <c r="I20" s="1" t="s">
        <v>211</v>
      </c>
      <c r="J20" s="1">
        <v>2</v>
      </c>
      <c r="K20" s="1" t="b">
        <v>1</v>
      </c>
      <c r="L20" s="1">
        <v>0</v>
      </c>
      <c r="M20" s="1">
        <v>0</v>
      </c>
      <c r="N20" s="1" t="s">
        <v>1775</v>
      </c>
      <c r="O20" s="1" t="s">
        <v>1790</v>
      </c>
      <c r="P20" s="1" t="s">
        <v>1791</v>
      </c>
      <c r="Q20" s="1" t="s">
        <v>1810</v>
      </c>
      <c r="R20" s="1" t="s">
        <v>1605</v>
      </c>
    </row>
    <row r="21" spans="1:18">
      <c r="A21" s="1" t="s">
        <v>1711</v>
      </c>
      <c r="B21" s="1" t="s">
        <v>1711</v>
      </c>
      <c r="C21" s="1" t="s">
        <v>1730</v>
      </c>
      <c r="D21" s="1" t="s">
        <v>1750</v>
      </c>
      <c r="E21" s="1" t="s">
        <v>1761</v>
      </c>
      <c r="F21" s="1" t="s">
        <v>138</v>
      </c>
      <c r="G21" s="1">
        <v>7657</v>
      </c>
      <c r="H21" s="1" t="s">
        <v>588</v>
      </c>
      <c r="I21" s="1" t="s">
        <v>211</v>
      </c>
      <c r="J21" s="1">
        <v>2</v>
      </c>
      <c r="K21" s="1" t="b">
        <v>1</v>
      </c>
      <c r="L21" s="1">
        <v>0</v>
      </c>
      <c r="M21" s="1">
        <v>0</v>
      </c>
      <c r="N21" s="1" t="s">
        <v>1775</v>
      </c>
      <c r="O21" s="1" t="s">
        <v>1790</v>
      </c>
      <c r="P21" s="1" t="s">
        <v>1791</v>
      </c>
      <c r="Q21" s="1" t="s">
        <v>1811</v>
      </c>
      <c r="R21" s="1" t="s">
        <v>1605</v>
      </c>
    </row>
    <row r="22" spans="1:18">
      <c r="A22" s="1" t="s">
        <v>1712</v>
      </c>
      <c r="B22" s="1" t="s">
        <v>1712</v>
      </c>
      <c r="C22" s="1" t="s">
        <v>1730</v>
      </c>
      <c r="D22" s="1" t="s">
        <v>1751</v>
      </c>
      <c r="E22" s="1" t="s">
        <v>1761</v>
      </c>
      <c r="F22" s="1" t="s">
        <v>138</v>
      </c>
      <c r="G22" s="1">
        <v>7657</v>
      </c>
      <c r="H22" s="1" t="s">
        <v>588</v>
      </c>
      <c r="I22" s="1" t="s">
        <v>211</v>
      </c>
      <c r="J22" s="1">
        <v>2</v>
      </c>
      <c r="K22" s="1" t="b">
        <v>1</v>
      </c>
      <c r="L22" s="1">
        <v>0</v>
      </c>
      <c r="M22" s="1">
        <v>0</v>
      </c>
      <c r="N22" s="1" t="s">
        <v>1775</v>
      </c>
      <c r="O22" s="1" t="s">
        <v>1790</v>
      </c>
      <c r="P22" s="1" t="s">
        <v>1791</v>
      </c>
      <c r="Q22" s="1" t="s">
        <v>1812</v>
      </c>
      <c r="R22" s="1" t="s">
        <v>1605</v>
      </c>
    </row>
    <row r="23" spans="1:18">
      <c r="A23" s="1" t="s">
        <v>1713</v>
      </c>
      <c r="B23" s="1" t="s">
        <v>1713</v>
      </c>
      <c r="C23" s="1" t="s">
        <v>1730</v>
      </c>
      <c r="D23" s="1" t="s">
        <v>1752</v>
      </c>
      <c r="E23" s="1" t="s">
        <v>1761</v>
      </c>
      <c r="F23" s="1" t="s">
        <v>138</v>
      </c>
      <c r="G23" s="1">
        <v>7657</v>
      </c>
      <c r="H23" s="1" t="s">
        <v>588</v>
      </c>
      <c r="I23" s="1" t="s">
        <v>211</v>
      </c>
      <c r="J23" s="1">
        <v>2</v>
      </c>
      <c r="K23" s="1" t="b">
        <v>1</v>
      </c>
      <c r="L23" s="1">
        <v>0</v>
      </c>
      <c r="M23" s="1">
        <v>0</v>
      </c>
      <c r="N23" s="1" t="s">
        <v>1775</v>
      </c>
      <c r="O23" s="1" t="s">
        <v>1790</v>
      </c>
      <c r="P23" s="1" t="s">
        <v>1791</v>
      </c>
      <c r="Q23" s="1" t="s">
        <v>1813</v>
      </c>
      <c r="R23" s="1" t="s">
        <v>1605</v>
      </c>
    </row>
  </sheetData>
  <autoFilter ref="A1:R23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14.7109375" style="1" customWidth="1"/>
    <col min="11" max="11" width="29.7109375" style="1" customWidth="1"/>
  </cols>
  <sheetData>
    <row r="1" spans="1:11">
      <c r="A1" s="2" t="s">
        <v>100</v>
      </c>
      <c r="B1" s="2" t="s">
        <v>1817</v>
      </c>
      <c r="C1" s="2" t="s">
        <v>1831</v>
      </c>
      <c r="D1" s="2" t="s">
        <v>1456</v>
      </c>
      <c r="E1" s="2" t="s">
        <v>1457</v>
      </c>
      <c r="F1" s="2" t="s">
        <v>1832</v>
      </c>
      <c r="G1" s="2" t="s">
        <v>224</v>
      </c>
      <c r="H1" s="2" t="s">
        <v>1833</v>
      </c>
      <c r="I1" s="2" t="s">
        <v>1834</v>
      </c>
      <c r="J1" s="2" t="s">
        <v>710</v>
      </c>
      <c r="K1" s="2" t="s">
        <v>1824</v>
      </c>
    </row>
    <row r="2" spans="1:11">
      <c r="A2" s="1" t="s">
        <v>43</v>
      </c>
      <c r="B2" s="1">
        <v>9227</v>
      </c>
      <c r="C2" s="1">
        <v>36</v>
      </c>
      <c r="D2" s="1" t="s">
        <v>237</v>
      </c>
      <c r="E2" s="1" t="s">
        <v>211</v>
      </c>
      <c r="F2" s="1">
        <v>3664</v>
      </c>
      <c r="G2" s="1" t="s">
        <v>208</v>
      </c>
      <c r="H2" s="1">
        <v>97.63</v>
      </c>
      <c r="I2" s="1" t="s">
        <v>90</v>
      </c>
      <c r="K2" s="1" t="s">
        <v>1825</v>
      </c>
    </row>
    <row r="3" spans="1:11">
      <c r="A3" s="1" t="s">
        <v>44</v>
      </c>
      <c r="B3" s="1">
        <v>9227</v>
      </c>
      <c r="C3" s="1">
        <v>38</v>
      </c>
      <c r="D3" s="1" t="s">
        <v>237</v>
      </c>
      <c r="E3" s="1" t="s">
        <v>211</v>
      </c>
      <c r="F3" s="1">
        <v>3649</v>
      </c>
      <c r="G3" s="1" t="s">
        <v>208</v>
      </c>
      <c r="H3" s="1">
        <v>97.23</v>
      </c>
      <c r="I3" s="1" t="s">
        <v>91</v>
      </c>
      <c r="J3" s="1" t="s">
        <v>90</v>
      </c>
      <c r="K3" s="1" t="s">
        <v>1826</v>
      </c>
    </row>
    <row r="4" spans="1:11">
      <c r="A4" s="1" t="s">
        <v>45</v>
      </c>
      <c r="B4" s="1">
        <v>9255</v>
      </c>
      <c r="C4" s="1">
        <v>38</v>
      </c>
      <c r="D4" s="1" t="s">
        <v>237</v>
      </c>
      <c r="E4" s="1" t="s">
        <v>211</v>
      </c>
      <c r="F4" s="1">
        <v>3677</v>
      </c>
      <c r="G4" s="1" t="s">
        <v>208</v>
      </c>
      <c r="H4" s="1">
        <v>97.53</v>
      </c>
      <c r="I4" s="1" t="s">
        <v>1619</v>
      </c>
      <c r="J4" s="1" t="s">
        <v>90</v>
      </c>
      <c r="K4" s="1" t="s">
        <v>1827</v>
      </c>
    </row>
    <row r="5" spans="1:11">
      <c r="A5" s="1" t="s">
        <v>46</v>
      </c>
      <c r="B5" s="1">
        <v>9270</v>
      </c>
      <c r="C5" s="1">
        <v>38</v>
      </c>
      <c r="D5" s="1" t="s">
        <v>237</v>
      </c>
      <c r="E5" s="1" t="s">
        <v>211</v>
      </c>
      <c r="F5" s="1">
        <v>3267</v>
      </c>
      <c r="G5" s="1" t="s">
        <v>209</v>
      </c>
      <c r="H5" s="1">
        <v>100</v>
      </c>
      <c r="I5" s="1" t="s">
        <v>1630</v>
      </c>
      <c r="J5" s="1" t="s">
        <v>1629</v>
      </c>
      <c r="K5" s="1" t="s">
        <v>1828</v>
      </c>
    </row>
    <row r="6" spans="1:11">
      <c r="A6" s="1" t="s">
        <v>47</v>
      </c>
      <c r="B6" s="1">
        <v>8990</v>
      </c>
      <c r="C6" s="1">
        <v>38</v>
      </c>
      <c r="D6" s="1" t="s">
        <v>238</v>
      </c>
      <c r="E6" s="1" t="s">
        <v>211</v>
      </c>
      <c r="F6" s="1">
        <v>3349</v>
      </c>
      <c r="G6" s="1" t="s">
        <v>210</v>
      </c>
      <c r="H6" s="1">
        <v>91.78</v>
      </c>
      <c r="I6" s="1" t="s">
        <v>1632</v>
      </c>
      <c r="J6" s="1" t="s">
        <v>1619</v>
      </c>
      <c r="K6" s="1" t="s">
        <v>1829</v>
      </c>
    </row>
    <row r="7" spans="1:11">
      <c r="A7" s="1" t="s">
        <v>48</v>
      </c>
      <c r="B7" s="1">
        <v>9041</v>
      </c>
      <c r="C7" s="1">
        <v>38</v>
      </c>
      <c r="D7" s="1" t="s">
        <v>237</v>
      </c>
      <c r="E7" s="1" t="s">
        <v>211</v>
      </c>
      <c r="F7" s="1">
        <v>3564</v>
      </c>
      <c r="G7" s="1" t="s">
        <v>208</v>
      </c>
      <c r="H7" s="1">
        <v>97.11</v>
      </c>
      <c r="I7" s="1" t="s">
        <v>95</v>
      </c>
      <c r="J7" s="1" t="s">
        <v>90</v>
      </c>
      <c r="K7" s="1" t="s">
        <v>1830</v>
      </c>
    </row>
  </sheetData>
  <autoFilter ref="A1:K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Index_Universe</vt:lpstr>
      <vt:lpstr>Sources_and_Links</vt:lpstr>
      <vt:lpstr>Not_Downloaded</vt:lpstr>
      <vt:lpstr>Intraday_Status</vt:lpstr>
      <vt:lpstr>Daily_Files</vt:lpstr>
      <vt:lpstr>Volatility_Files</vt:lpstr>
      <vt:lpstr>Intraday_5min_Files</vt:lpstr>
      <vt:lpstr>Intraday_1min_Files</vt:lpstr>
      <vt:lpstr>RV_Files</vt:lpstr>
      <vt:lpstr>Macro_Files</vt:lpstr>
      <vt:lpstr>Panel_Files</vt:lpstr>
      <vt:lpstr>Data_Dictionary</vt:lpstr>
      <vt:lpstr>Panel_Notes</vt:lpstr>
      <vt:lpstr>Panel_Dictionary</vt:lpstr>
      <vt:lpstr>Derived_Variables</vt:lpstr>
      <vt:lpstr>Validation</vt:lpstr>
      <vt:lpstr>CFD_vs_Index</vt:lpstr>
      <vt:lpstr>Frozen_Sessions_Dropped</vt:lpstr>
      <vt:lpstr>Risks_and_Gotchas</vt:lpstr>
      <vt:lpstr>Libraries</vt:lpstr>
      <vt:lpstr>Collection_Plan</vt:lpstr>
      <vt:lpstr>Manifest_Daily</vt:lpstr>
      <vt:lpstr>Manifest_Volatility</vt:lpstr>
      <vt:lpstr>Manifest_Intraday_DL</vt:lpstr>
      <vt:lpstr>Manifest_RV</vt:lpstr>
      <vt:lpstr>Manifest_Macro</vt:lpstr>
      <vt:lpstr>Manifest_Panel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2026-08-23T06:06:14Z</dcterms:created>
  <dcterms:modified xsi:type="dcterms:W3CDTF">2026-08-23T06:06:14Z</dcterms:modified>
</cp:coreProperties>
</file>