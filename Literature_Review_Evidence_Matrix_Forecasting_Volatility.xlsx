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7a3efd686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16121ddee543db"/>
    <x:sheet xmlns:r="http://schemas.openxmlformats.org/officeDocument/2006/relationships" name="Reading Map" sheetId="2" r:id="R28263d03cb7a45ec"/>
  </x:sheets>
</x:workbook>
</file>

<file path=xl/sharedStrings.xml><?xml version="1.0" encoding="utf-8"?>
<x:sst xmlns:x="http://schemas.openxmlformats.org/spreadsheetml/2006/main">
  <x:si>
    <x:t xml:space="preserve">Sno</x:t>
  </x:si>
  <x:si>
    <x:t xml:space="preserve">Title</x:t>
  </x:si>
  <x:si>
    <x:t xml:space="preserve">Year of Publication</x:t>
  </x:si>
  <x:si>
    <x:t xml:space="preserve">Authors</x:t>
  </x:si>
  <x:si>
    <x:t xml:space="preserve">Journal</x:t>
  </x:si>
  <x:si>
    <x:t xml:space="preserve">Journal Category (ABDC Ranking/ FT ranking/ ABS Ranking</x:t>
  </x:si>
  <x:si>
    <x:t xml:space="preserve">Hypothesis / Research Question (RQ)</x:t>
  </x:si>
  <x:si>
    <x:t xml:space="preserve">Research Methodology</x:t>
  </x:si>
  <x:si>
    <x:t xml:space="preserve">Sample Size</x:t>
  </x:si>
  <x:si>
    <x:t xml:space="preserve">Dependent Variable(s)</x:t>
  </x:si>
  <x:si>
    <x:t xml:space="preserve">Independent Variables</x:t>
  </x:si>
  <x:si>
    <x:t xml:space="preserve">Findings/Conclusion</x:t>
  </x:si>
  <x:si>
    <x:t xml:space="preserve">Limitations</x:t>
  </x:si>
  <x:si>
    <x:t xml:space="preserve">Future Research Direction</x:t>
  </x:si>
  <x:si>
    <x:t xml:space="preserve">Theories referred to</x:t>
  </x:si>
  <x:si>
    <x:t xml:space="preserve">Testable Hypothesis / RQ</x:t>
  </x:si>
</x:sst>
</file>

<file path=xl/styles.xml><?xml version="1.0" encoding="utf-8"?>
<x:styleSheet xmlns:x="http://schemas.openxmlformats.org/spreadsheetml/2006/main">
  <x:fonts count="22">
    <x:font>
      <x:sz val="11"/>
      <x:color theme="1"/>
      <x:name val="Calibri"/>
    </x:font>
    <x:font>
      <x:b/>
      <x:sz val="11"/>
      <x:color theme="1"/>
      <x:name val="Times New Roman"/>
    </x:font>
    <x:font/>
    <x:font>
      <x:sz val="11"/>
      <x:color theme="1"/>
      <x:name val="Times New Roman"/>
    </x:font>
    <x:font>
      <x:sz val="11"/>
      <x:color theme="1"/>
      <x:name val="Calibri"/>
    </x:font>
    <x:font>
      <x:sz val="8"/>
      <x:color rgb="FF0D0D0D"/>
      <x:name val="Quattrocento Sans"/>
    </x:font>
    <x:font>
      <x:sz val="11"/>
      <x:color rgb="FF0000FF"/>
      <x:name val="Times New Roman"/>
    </x:font>
    <x:font>
      <x:sz val="10"/>
      <x:color rgb="FF0D0D0D"/>
      <x:name val="Quattrocento Sans"/>
    </x:font>
    <x:font>
      <x:sz val="11"/>
      <x:color rgb="FF0D0D0D"/>
      <x:name val="Times New Roman"/>
    </x:font>
    <x:font>
      <x:sz val="11"/>
      <x:color rgb="FF000000"/>
      <x:name val="Calibri"/>
    </x:font>
    <x:font>
      <x:b/>
      <x:sz val="11"/>
      <x:color theme="1"/>
      <x:name val="Calibri"/>
    </x:font>
    <x:font>
      <x:b/>
      <x:sz val="10"/>
      <x:color rgb="FF1F1F1F"/>
      <x:name val="Times New Roman"/>
    </x:font>
    <x:font>
      <x:b/>
      <x:sz val="10"/>
      <x:color rgb="FF1F1F1F"/>
    </x:font>
    <x:font>
      <x:sz val="9"/>
      <x:color theme="1"/>
      <x:name val="Times New Roman"/>
    </x:font>
    <x:font>
      <x:sz val="9"/>
      <x:color theme="1"/>
      <x:name val="Calibri"/>
    </x:font>
    <x:font>
      <x:sz val="9"/>
      <x:color rgb="FF0D0D0D"/>
      <x:name val="Quattrocento Sans"/>
    </x:font>
    <x:font>
      <x:sz val="9"/>
      <x:color rgb="FF0000FF"/>
      <x:name val="Times New Roman"/>
    </x:font>
    <x:font>
      <x:sz val="9"/>
      <x:color rgb="FF0D0D0D"/>
      <x:name val="Times New Roman"/>
    </x:font>
    <x:font>
      <x:sz val="9"/>
      <x:color rgb="FF000000"/>
      <x:name val="Calibri"/>
    </x:font>
    <x:font>
      <x:b/>
      <x:sz val="9"/>
      <x:color theme="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lightGray"/>
    </x:fill>
    <x:fill>
      <x:patternFill patternType="solid">
        <x:fgColor rgb="FFFEF2CB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1">
    <x:border/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7B7B7"/>
      </x:left>
      <x:right style="thin">
        <x:color rgb="FF000000"/>
      </x:right>
      <x:top style="thin">
        <x:color rgb="FFB7B7B7"/>
      </x:top>
    </x:border>
    <x:border>
      <x:left style="thin">
        <x:color rgb="FF000000"/>
      </x:left>
      <x:right style="thin">
        <x:color rgb="FF000000"/>
      </x:right>
      <x:top style="thin">
        <x:color rgb="FFB7B7B7"/>
      </x:top>
    </x:border>
    <x:border>
      <x:left style="thin">
        <x:color rgb="FF000000"/>
      </x:left>
      <x:top style="thin">
        <x:color rgb="FFB7B7B7"/>
      </x:top>
      <x:bottom style="thin">
        <x:color rgb="FF000000"/>
      </x:bottom>
    </x:border>
    <x:border>
      <x:right style="thin">
        <x:color rgb="FF000000"/>
      </x:right>
      <x:top style="thin">
        <x:color rgb="FFB7B7B7"/>
      </x:top>
      <x:bottom style="thin">
        <x:color rgb="FF000000"/>
      </x:bottom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  <x:right style="thin">
        <x:color rgb="FF000000"/>
      </x:right>
      <x:bottom style="thin">
        <x:color rgb="FFB7B7B7"/>
      </x:bottom>
    </x:border>
    <x:border>
      <x:left style="thin">
        <x:color rgb="FF000000"/>
      </x:left>
      <x:right style="thin">
        <x:color rgb="FF000000"/>
      </x:right>
      <x:bottom style="thin">
        <x:color rgb="FFB7B7B7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7B7B7"/>
      </x:lef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</x:borders>
  <x:cellStyleXfs count="1">
    <x:xf numFmtId="0" fontId="0" fillId="0" borderId="0" applyFont="1" applyAlignment="1"/>
  </x:cellStyleXfs>
  <x:cellXfs count="137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left" vertical="center"/>
    </x:xf>
    <x:xf numFmtId="0" fontId="1" fillId="2" borderId="1" xfId="0" applyFont="1" applyFill="1" applyBorder="1" applyAlignment="1">
      <x:alignment horizontal="left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left" vertical="center"/>
    </x:xf>
    <x:xf numFmtId="0" fontId="2" fillId="0" borderId="3" xfId="0" applyFont="1" applyBorder="1"/>
    <x:xf numFmtId="0" fontId="3" fillId="0" borderId="0" xfId="0" applyFont="1"/>
    <x:xf numFmtId="0" fontId="2" fillId="0" borderId="4" xfId="0" applyFont="1" applyBorder="1"/>
    <x:xf numFmtId="0" fontId="1" fillId="2" borderId="5" xfId="0" applyFont="1" applyFill="1" applyBorder="1" applyAlignment="1">
      <x:alignment horizontal="left" vertical="center"/>
    </x:xf>
    <x:xf numFmtId="0" fontId="3" fillId="0" borderId="0" xfId="0" applyFont="1" applyAlignment="1">
      <x:alignment horizontal="left" vertical="center" wrapText="1"/>
    </x:xf>
    <x:xf numFmtId="0" fontId="4" fillId="0" borderId="0" xfId="0" applyFont="1" applyAlignment="1">
      <x:alignment horizontal="left" vertical="center" wrapText="1"/>
    </x:xf>
    <x:xf numFmtId="0" fontId="4" fillId="0" borderId="0" xfId="0" applyFont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3" fillId="0" borderId="0" xfId="0" applyFont="1" applyAlignment="1">
      <x:alignment horizontal="center" wrapText="1"/>
    </x:xf>
    <x:xf numFmtId="3" fontId="3" fillId="0" borderId="0" xfId="0" applyNumberFormat="1" applyFont="1" applyAlignment="1">
      <x:alignment horizontal="left" vertical="center" wrapText="1"/>
    </x:xf>
    <x:xf numFmtId="0" fontId="6" fillId="0" borderId="0" xfId="0" applyFont="1" applyAlignment="1">
      <x:alignment horizontal="left" vertical="center" wrapText="1"/>
    </x:xf>
    <x:xf numFmtId="0" fontId="7" fillId="0" borderId="0" xfId="0" applyFont="1" applyAlignment="1">
      <x:alignment horizontal="left" vertical="center"/>
    </x:xf>
    <x:xf numFmtId="0" fontId="8" fillId="0" borderId="0" xfId="0" applyFont="1" applyAlignment="1">
      <x:alignment horizontal="left" vertical="center" wrapText="1"/>
    </x:xf>
    <x:xf numFmtId="0" fontId="5" fillId="0" borderId="0" xfId="0" applyFont="1" applyAlignment="1">
      <x:alignment horizontal="left" vertical="center" wrapText="1"/>
    </x:xf>
    <x:xf numFmtId="0" fontId="9" fillId="0" borderId="0" xfId="0" applyFont="1" applyAlignment="1">
      <x:alignment horizontal="left" vertical="center" wrapText="1"/>
    </x:xf>
    <x:xf numFmtId="0" fontId="10" fillId="0" borderId="0" xfId="0" applyFont="1" applyAlignment="1">
      <x:alignment horizontal="left" vertical="center"/>
    </x:xf>
    <x:xf numFmtId="0" fontId="4" fillId="0" borderId="0" xfId="0" applyFont="1" applyAlignment="1">
      <x:alignment wrapText="1"/>
    </x:xf>
    <x:xf numFmtId="0" fontId="4" fillId="0" borderId="0" xfId="0" applyFont="1"/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left" vertical="center"/>
    </x:xf>
    <x:xf numFmtId="0" fontId="2" fillId="0" borderId="3" xfId="0" applyNumberFormat="1" applyFont="1" applyFill="1" applyBorder="1"/>
    <x:xf numFmtId="0" fontId="3" fillId="0" borderId="0" xfId="0" applyNumberFormat="1" applyFont="1" applyFill="1" applyBorder="1"/>
    <x:xf numFmtId="0" fontId="2" fillId="0" borderId="4" xfId="0" applyNumberFormat="1" applyFont="1" applyFill="1" applyBorder="1"/>
    <x:xf numFmtId="0" fontId="1" fillId="2" borderId="5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center" wrapText="1"/>
    </x:xf>
    <x:xf numFmtId="3" fontId="3" fillId="0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1" xfId="0" applyNumberFormat="1" applyFont="1" applyFill="1" applyBorder="1" applyAlignment="1">
      <x:alignment horizontal="left" vertical="center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left" vertical="center"/>
    </x:xf>
    <x:xf numFmtId="0" fontId="2" fillId="3" borderId="3" xfId="0" applyNumberFormat="1" applyFont="1" applyFill="1" applyBorder="1"/>
    <x:xf numFmtId="0" fontId="3" fillId="3" borderId="0" xfId="0" applyNumberFormat="1" applyFont="1" applyFill="1" applyBorder="1"/>
    <x:xf numFmtId="0" fontId="2" fillId="3" borderId="4" xfId="0" applyNumberFormat="1" applyFont="1" applyFill="1" applyBorder="1"/>
    <x:xf numFmtId="0" fontId="1" fillId="3" borderId="5" xfId="0" applyNumberFormat="1" applyFont="1" applyFill="1" applyBorder="1" applyAlignment="1">
      <x:alignment horizontal="left" vertical="center"/>
    </x:xf>
    <x:xf numFmtId="0" fontId="11" fillId="3" borderId="1" xfId="0" applyNumberFormat="1" applyFont="1" applyFill="1" applyBorder="1" applyAlignment="1">
      <x:alignment horizontal="left" vertical="center"/>
    </x:xf>
    <x:xf numFmtId="0" fontId="11" fillId="3" borderId="1" xfId="0" applyNumberFormat="1" applyFont="1" applyFill="1" applyBorder="1" applyAlignment="1">
      <x:alignment horizontal="left" vertical="center" wrapText="1"/>
    </x:xf>
    <x:xf numFmtId="0" fontId="11" fillId="3" borderId="1" xfId="0" applyNumberFormat="1" applyFont="1" applyFill="1" applyBorder="1" applyAlignment="1">
      <x:alignment horizontal="center" vertical="center" wrapText="1"/>
    </x:xf>
    <x:xf numFmtId="0" fontId="11" fillId="3" borderId="2" xfId="0" applyNumberFormat="1" applyFont="1" applyFill="1" applyBorder="1" applyAlignment="1">
      <x:alignment horizontal="left" vertical="center"/>
    </x:xf>
    <x:xf numFmtId="0" fontId="12" fillId="3" borderId="3" xfId="0" applyNumberFormat="1" applyFont="1" applyFill="1" applyBorder="1"/>
    <x:xf numFmtId="0" fontId="11" fillId="3" borderId="0" xfId="0" applyNumberFormat="1" applyFont="1" applyFill="1" applyBorder="1"/>
    <x:xf numFmtId="0" fontId="12" fillId="3" borderId="4" xfId="0" applyNumberFormat="1" applyFont="1" applyFill="1" applyBorder="1"/>
    <x:xf numFmtId="0" fontId="11" fillId="3" borderId="5" xfId="0" applyNumberFormat="1" applyFont="1" applyFill="1" applyBorder="1" applyAlignment="1">
      <x:alignment horizontal="left" vertical="center"/>
    </x:xf>
    <x:xf numFmtId="0" fontId="11" fillId="3" borderId="6" xfId="0" applyNumberFormat="1" applyFont="1" applyFill="1" applyBorder="1" applyAlignment="1">
      <x:alignment horizontal="left" vertical="center"/>
    </x:xf>
    <x:xf numFmtId="0" fontId="11" fillId="3" borderId="7" xfId="0" applyNumberFormat="1" applyFont="1" applyFill="1" applyBorder="1" applyAlignment="1">
      <x:alignment horizontal="left" vertical="center"/>
    </x:xf>
    <x:xf numFmtId="0" fontId="11" fillId="3" borderId="7" xfId="0" applyNumberFormat="1" applyFont="1" applyFill="1" applyBorder="1" applyAlignment="1">
      <x:alignment horizontal="left" vertical="center" wrapText="1"/>
    </x:xf>
    <x:xf numFmtId="0" fontId="11" fillId="3" borderId="7" xfId="0" applyNumberFormat="1" applyFont="1" applyFill="1" applyBorder="1" applyAlignment="1">
      <x:alignment horizontal="center" vertical="center" wrapText="1"/>
    </x:xf>
    <x:xf numFmtId="0" fontId="11" fillId="3" borderId="8" xfId="0" applyNumberFormat="1" applyFont="1" applyFill="1" applyBorder="1" applyAlignment="1">
      <x:alignment horizontal="left" vertical="center"/>
    </x:xf>
    <x:xf numFmtId="0" fontId="12" fillId="3" borderId="9" xfId="0" applyNumberFormat="1" applyFont="1" applyFill="1" applyBorder="1"/>
    <x:xf numFmtId="0" fontId="11" fillId="3" borderId="10" xfId="0" applyNumberFormat="1" applyFont="1" applyFill="1" applyBorder="1"/>
    <x:xf numFmtId="0" fontId="11" fillId="3" borderId="11" xfId="0" applyNumberFormat="1" applyFont="1" applyFill="1" applyBorder="1"/>
    <x:xf numFmtId="0" fontId="12" fillId="3" borderId="12" xfId="0" applyNumberFormat="1" applyFont="1" applyFill="1" applyBorder="1"/>
    <x:xf numFmtId="0" fontId="12" fillId="3" borderId="13" xfId="0" applyNumberFormat="1" applyFont="1" applyFill="1" applyBorder="1"/>
    <x:xf numFmtId="0" fontId="11" fillId="3" borderId="14" xfId="0" applyNumberFormat="1" applyFont="1" applyFill="1" applyBorder="1" applyAlignment="1">
      <x:alignment horizontal="left" vertical="center"/>
    </x:xf>
    <x:xf numFmtId="0" fontId="11" fillId="3" borderId="15" xfId="0" applyNumberFormat="1" applyFont="1" applyFill="1" applyBorder="1"/>
    <x:xf numFmtId="0" fontId="11" fillId="3" borderId="16" xfId="0" applyNumberFormat="1" applyFont="1" applyFill="1" applyBorder="1"/>
    <x:xf numFmtId="0" fontId="11" fillId="3" borderId="6" xfId="0" applyNumberFormat="1" applyFont="1" applyFill="1" applyBorder="1" applyAlignment="1">
      <x:alignment horizontal="left" vertical="center" wrapText="1"/>
    </x:xf>
    <x:xf numFmtId="0" fontId="11" fillId="3" borderId="8" xfId="0" applyNumberFormat="1" applyFont="1" applyFill="1" applyBorder="1" applyAlignment="1">
      <x:alignment horizontal="left" vertical="center" wrapText="1"/>
    </x:xf>
    <x:xf numFmtId="0" fontId="12" fillId="3" borderId="9" xfId="0" applyNumberFormat="1" applyFont="1" applyFill="1" applyBorder="1" applyAlignment="1">
      <x:alignment wrapText="1"/>
    </x:xf>
    <x:xf numFmtId="0" fontId="11" fillId="3" borderId="10" xfId="0" applyNumberFormat="1" applyFont="1" applyFill="1" applyBorder="1" applyAlignment="1">
      <x:alignment wrapText="1"/>
    </x:xf>
    <x:xf numFmtId="0" fontId="11" fillId="3" borderId="11" xfId="0" applyNumberFormat="1" applyFont="1" applyFill="1" applyBorder="1" applyAlignment="1">
      <x:alignment wrapText="1"/>
    </x:xf>
    <x:xf numFmtId="0" fontId="12" fillId="3" borderId="12" xfId="0" applyNumberFormat="1" applyFont="1" applyFill="1" applyBorder="1" applyAlignment="1">
      <x:alignment wrapText="1"/>
    </x:xf>
    <x:xf numFmtId="0" fontId="12" fillId="3" borderId="13" xfId="0" applyNumberFormat="1" applyFont="1" applyFill="1" applyBorder="1" applyAlignment="1">
      <x:alignment wrapText="1"/>
    </x:xf>
    <x:xf numFmtId="0" fontId="11" fillId="3" borderId="14" xfId="0" applyNumberFormat="1" applyFont="1" applyFill="1" applyBorder="1" applyAlignment="1">
      <x:alignment horizontal="left" vertical="center" wrapText="1"/>
    </x:xf>
    <x:xf numFmtId="0" fontId="11" fillId="3" borderId="15" xfId="0" applyNumberFormat="1" applyFont="1" applyFill="1" applyBorder="1" applyAlignment="1">
      <x:alignment wrapText="1"/>
    </x:xf>
    <x:xf numFmtId="0" fontId="11" fillId="3" borderId="16" xfId="0" applyNumberFormat="1" applyFont="1" applyFill="1" applyBorder="1" applyAlignment="1">
      <x:alignment wrapText="1"/>
    </x:xf>
    <x:xf numFmtId="0" fontId="12" fillId="3" borderId="9" xfId="0" applyNumberFormat="1" applyFont="1" applyFill="1" applyBorder="1" applyAlignment="1">
      <x:alignment vertical="center" wrapText="1"/>
    </x:xf>
    <x:xf numFmtId="0" fontId="11" fillId="3" borderId="10" xfId="0" applyNumberFormat="1" applyFont="1" applyFill="1" applyBorder="1" applyAlignment="1">
      <x:alignment vertical="center" wrapText="1"/>
    </x:xf>
    <x:xf numFmtId="0" fontId="11" fillId="3" borderId="11" xfId="0" applyNumberFormat="1" applyFont="1" applyFill="1" applyBorder="1" applyAlignment="1">
      <x:alignment vertical="center" wrapText="1"/>
    </x:xf>
    <x:xf numFmtId="0" fontId="12" fillId="3" borderId="12" xfId="0" applyNumberFormat="1" applyFont="1" applyFill="1" applyBorder="1" applyAlignment="1">
      <x:alignment vertical="center" wrapText="1"/>
    </x:xf>
    <x:xf numFmtId="0" fontId="12" fillId="3" borderId="13" xfId="0" applyNumberFormat="1" applyFont="1" applyFill="1" applyBorder="1" applyAlignment="1">
      <x:alignment vertical="center" wrapText="1"/>
    </x:xf>
    <x:xf numFmtId="0" fontId="11" fillId="3" borderId="15" xfId="0" applyNumberFormat="1" applyFont="1" applyFill="1" applyBorder="1" applyAlignment="1">
      <x:alignment vertical="center" wrapText="1"/>
    </x:xf>
    <x:xf numFmtId="0" fontId="11" fillId="3" borderId="1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7" fillId="0" borderId="0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3" fontId="3" fillId="0" borderId="0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left" vertical="top" wrapText="1"/>
    </x:xf>
    <x:xf numFmtId="0" fontId="8" fillId="0" borderId="0" xfId="0" applyNumberFormat="1" applyFont="1" applyFill="1" applyBorder="1" applyAlignment="1">
      <x:alignment horizontal="left" vertical="top" wrapText="1"/>
    </x:xf>
    <x:xf numFmtId="0" fontId="9" fillId="0" borderId="0" xfId="0" applyNumberFormat="1" applyFont="1" applyFill="1" applyBorder="1" applyAlignment="1">
      <x:alignment horizontal="left" vertical="top" wrapText="1"/>
    </x:xf>
    <x:xf numFmtId="0" fontId="10" fillId="0" borderId="0" xfId="0" applyNumberFormat="1" applyFont="1" applyFill="1" applyBorder="1" applyAlignment="1">
      <x:alignment horizontal="left" vertical="top" wrapText="1"/>
    </x:xf>
    <x:xf numFmtId="0" fontId="13" fillId="0" borderId="0" xfId="0" applyNumberFormat="1" applyFont="1" applyFill="1" applyBorder="1" applyAlignment="1">
      <x:alignment horizontal="left" vertical="top" wrapText="1"/>
    </x:xf>
    <x:xf numFmtId="0" fontId="14" fillId="0" borderId="0" xfId="0" applyNumberFormat="1" applyFont="1" applyFill="1" applyBorder="1" applyAlignment="1">
      <x:alignment horizontal="left" vertical="top" wrapText="1"/>
    </x:xf>
    <x:xf numFmtId="0" fontId="15" fillId="0" borderId="0" xfId="0" applyNumberFormat="1" applyFont="1" applyFill="1" applyBorder="1" applyAlignment="1">
      <x:alignment horizontal="left" vertical="top" wrapText="1"/>
    </x:xf>
    <x:xf numFmtId="0" fontId="13" fillId="0" borderId="0" xfId="0" applyNumberFormat="1" applyFont="1" applyFill="1" applyBorder="1" applyAlignment="1">
      <x:alignment horizontal="center" vertical="top" wrapText="1"/>
    </x:xf>
    <x:xf numFmtId="3" fontId="13" fillId="0" borderId="0" xfId="0" applyNumberFormat="1" applyFont="1" applyFill="1" applyBorder="1" applyAlignment="1">
      <x:alignment horizontal="left" vertical="top" wrapText="1"/>
    </x:xf>
    <x:xf numFmtId="0" fontId="16" fillId="0" borderId="0" xfId="0" applyNumberFormat="1" applyFont="1" applyFill="1" applyBorder="1" applyAlignment="1">
      <x:alignment horizontal="left" vertical="top" wrapText="1"/>
    </x:xf>
    <x:xf numFmtId="0" fontId="14" fillId="0" borderId="0" xfId="0" applyNumberFormat="1" applyFont="1" applyFill="1" applyBorder="1" applyAlignment="1">
      <x:alignment vertical="top" wrapText="1"/>
    </x:xf>
    <x:xf numFmtId="0" fontId="17" fillId="0" borderId="0" xfId="0" applyNumberFormat="1" applyFont="1" applyFill="1" applyBorder="1" applyAlignment="1">
      <x:alignment horizontal="left" vertical="top" wrapText="1"/>
    </x:xf>
    <x:xf numFmtId="0" fontId="18" fillId="0" borderId="0" xfId="0" applyNumberFormat="1" applyFont="1" applyFill="1" applyBorder="1" applyAlignment="1">
      <x:alignment horizontal="left" vertical="top" wrapText="1"/>
    </x:xf>
    <x:xf numFmtId="0" fontId="19" fillId="0" borderId="0" xfId="0" applyNumberFormat="1" applyFont="1" applyFill="1" applyBorder="1" applyAlignment="1">
      <x:alignment horizontal="left" vertical="top" wrapText="1"/>
    </x:xf>
    <x:xf numFmtId="0" fontId="14" fillId="0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bottom" wrapText="0"/>
    </x:xf>
    <x:xf numFmtId="0" fontId="20" fillId="4" borderId="0" xfId="0" applyNumberFormat="1" applyFont="1" applyFill="1" applyBorder="1" applyAlignment="1">
      <x:alignment vertical="bottom" wrapText="0"/>
    </x:xf>
    <x:xf numFmtId="0" fontId="20" fillId="4" borderId="0" xfId="0" applyNumberFormat="1" applyFont="1" applyFill="1" applyBorder="1" applyAlignment="1">
      <x:alignment horizontal="center" vertical="bottom" wrapText="0"/>
    </x:xf>
    <x:xf numFmtId="0" fontId="20" fillId="4" borderId="0" xfId="0" applyNumberFormat="1" applyFont="1" applyFill="1" applyBorder="1" applyAlignment="1">
      <x:alignment horizontal="center" vertical="center" wrapText="0"/>
    </x:xf>
    <x:xf numFmtId="0" fontId="0" fillId="5" borderId="0" xfId="0" applyNumberFormat="1" applyFont="1" applyFill="1" applyBorder="1" applyAlignment="1">
      <x:alignment vertical="bottom" wrapText="0"/>
    </x:xf>
    <x:xf numFmtId="0" fontId="10" fillId="5" borderId="0" xfId="0" applyNumberFormat="1" applyFont="1" applyFill="1" applyBorder="1" applyAlignment="1">
      <x:alignment vertical="bottom" wrapText="0"/>
    </x:xf>
    <x:xf numFmtId="0" fontId="10" fillId="5" borderId="17" xfId="0" applyNumberFormat="1" applyFont="1" applyFill="1" applyBorder="1" applyAlignment="1">
      <x:alignment vertical="bottom" wrapText="0"/>
    </x:xf>
    <x:xf numFmtId="0" fontId="10" fillId="5" borderId="11" xfId="0" applyNumberFormat="1" applyFont="1" applyFill="1" applyBorder="1" applyAlignment="1">
      <x:alignment vertical="bottom" wrapText="0"/>
    </x:xf>
    <x:xf numFmtId="0" fontId="10" fillId="5" borderId="18" xfId="0" applyNumberFormat="1" applyFont="1" applyFill="1" applyBorder="1" applyAlignment="1">
      <x:alignment vertical="bottom" wrapText="0"/>
    </x:xf>
    <x:xf numFmtId="0" fontId="10" fillId="5" borderId="19" xfId="0" applyNumberFormat="1" applyFont="1" applyFill="1" applyBorder="1" applyAlignment="1">
      <x:alignment vertical="bottom" wrapText="0"/>
    </x:xf>
    <x:xf numFmtId="0" fontId="10" fillId="5" borderId="20" xfId="0" applyNumberFormat="1" applyFont="1" applyFill="1" applyBorder="1" applyAlignment="1">
      <x:alignment vertical="bottom" wrapText="0"/>
    </x:xf>
    <x:xf numFmtId="0" fontId="10" fillId="5" borderId="16" xfId="0" applyNumberFormat="1" applyFont="1" applyFill="1" applyBorder="1" applyAlignment="1">
      <x:alignment vertical="bottom" wrapText="0"/>
    </x:xf>
    <x:xf numFmtId="0" fontId="0" fillId="3" borderId="0" xfId="0" applyNumberFormat="1" applyFont="1" applyFill="1" applyBorder="1" applyAlignment="1">
      <x:alignment vertical="bottom" wrapText="1"/>
    </x:xf>
    <x:xf numFmtId="0" fontId="10" fillId="3" borderId="0" xfId="0" applyNumberFormat="1" applyFont="1" applyFill="1" applyBorder="1" applyAlignment="1">
      <x:alignment vertical="bottom" wrapText="1"/>
    </x:xf>
    <x:xf numFmtId="0" fontId="10" fillId="3" borderId="0" xfId="0" applyNumberFormat="1" applyFont="1" applyFill="1" applyBorder="1" applyAlignment="1">
      <x:alignment horizontal="center" vertical="bottom" wrapText="1"/>
    </x:xf>
    <x:xf numFmtId="0" fontId="21" fillId="4" borderId="0" xfId="0" applyNumberFormat="1" applyFont="1" applyFill="1" applyBorder="1" applyAlignment="1">
      <x:alignment vertical="bottom" wrapText="0"/>
    </x:xf>
    <x:xf numFmtId="0" fontId="21" fillId="4" borderId="0" xfId="0" applyNumberFormat="1" applyFont="1" applyFill="1" applyBorder="1" applyAlignment="1">
      <x:alignment vertical="bottom" wrapText="1"/>
    </x:xf>
    <x:xf numFmtId="0" fontId="21" fillId="4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B6D7A8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B6D7A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a4b5cbeb646f9" /><Relationship Type="http://schemas.openxmlformats.org/officeDocument/2006/relationships/theme" Target="/xl/theme/theme1.xml" Id="Rcdc44fa2100d4812" /><Relationship Type="http://schemas.openxmlformats.org/officeDocument/2006/relationships/sharedStrings" Target="/xl/sharedStrings.xml" Id="R10bdcc45b7634d38" /><Relationship Type="http://schemas.openxmlformats.org/officeDocument/2006/relationships/worksheet" Target="/xl/worksheets/sheet1.xml" Id="Raa16121ddee543db" /><Relationship Type="http://schemas.openxmlformats.org/officeDocument/2006/relationships/worksheet" Target="/xl/worksheets/sheet2.xml" Id="R28263d03cb7a45e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6" hidden="0" customWidth="1"/>
    <x:col min="2" max="2" width="34" hidden="0" customWidth="1"/>
    <x:col min="3" max="3" width="10" hidden="0" customWidth="1"/>
    <x:col min="4" max="4" width="25" hidden="0" customWidth="1"/>
    <x:col min="5" max="5" width="26" hidden="0" customWidth="1"/>
    <x:col min="6" max="6" width="24" hidden="0" customWidth="1"/>
    <x:col min="7" max="7" width="29" hidden="0" customWidth="1"/>
    <x:col min="8" max="8" width="39" hidden="0" customWidth="1"/>
    <x:col min="9" max="9" width="39" hidden="0" customWidth="1"/>
    <x:col min="10" max="10" width="29" hidden="0" customWidth="1"/>
    <x:col min="11" max="11" width="25" hidden="0" customWidth="1"/>
    <x:col min="12" max="12" width="31" hidden="0" customWidth="1"/>
    <x:col min="13" max="13" width="43" hidden="0" customWidth="1"/>
    <x:col min="14" max="14" width="35" hidden="0" customWidth="1"/>
    <x:col min="15" max="15" width="34" hidden="0" customWidth="1"/>
    <x:col min="16" max="27" width="8.710000038146973" customWidth="1"/>
    <x:col min="16" max="16" width="12" hidden="0" customWidth="1"/>
    <x:col min="17" max="17" width="24" hidden="0" customWidth="1"/>
    <x:col min="18" max="18" width="43" hidden="0" customWidth="1"/>
    <x:col min="19" max="19" width="39" hidden="0" customWidth="1"/>
    <x:col min="20" max="20" width="31" hidden="0" customWidth="1"/>
    <x:col min="21" max="21" width="16" hidden="0" customWidth="1"/>
  </x:cols>
  <x:sheetData>
    <x:row r="1" ht="34" customHeight="1">
      <x:c r="A1" s="75" t="s">
        <x:v>0</x:v>
      </x:c>
      <x:c r="B1" s="64" t="s">
        <x:v>1</x:v>
      </x:c>
      <x:c r="C1" s="64" t="s">
        <x:v>2</x:v>
      </x:c>
      <x:c r="D1" s="64" t="s">
        <x:v>3</x:v>
      </x:c>
      <x:c r="E1" s="64" t="s">
        <x:v>4</x:v>
      </x:c>
      <x:c r="F1" s="65" t="s">
        <x:v>5</x:v>
      </x:c>
      <x:c r="G1" s="76" t="s">
        <x:v>6</x:v>
      </x:c>
      <x:c r="H1" s="85"/>
      <x:c r="I1" s="64" t="s">
        <x:v>7</x:v>
      </x:c>
      <x:c r="J1" s="64" t="s">
        <x:v>8</x:v>
      </x:c>
      <x:c r="K1" s="64" t="s">
        <x:v>9</x:v>
      </x:c>
      <x:c r="L1" s="64" t="s">
        <x:v>10</x:v>
      </x:c>
      <x:c r="M1" s="64" t="s">
        <x:v>11</x:v>
      </x:c>
      <x:c r="N1" s="64" t="s">
        <x:v>12</x:v>
      </x:c>
      <x:c r="O1" s="64" t="s">
        <x:v>13</x:v>
      </x:c>
      <x:c r="P1" s="86" t="str">
        <x:v>Priority</x:v>
      </x:c>
      <x:c r="Q1" s="86" t="str">
        <x:v>Literature Block</x:v>
      </x:c>
      <x:c r="R1" s="86" t="str">
        <x:v>Exact Use in Our Report</x:v>
      </x:c>
      <x:c r="S1" s="86" t="str">
        <x:v>Source / DOI / Link</x:v>
      </x:c>
      <x:c r="T1" s="86" t="str">
        <x:v>Evidence Basis</x:v>
      </x:c>
      <x:c r="U1" s="87" t="str">
        <x:v>Verification Status</x:v>
      </x:c>
      <x:c r="V1" s="6"/>
      <x:c r="W1" s="6"/>
      <x:c r="X1" s="6"/>
      <x:c r="Y1" s="6"/>
      <x:c r="Z1" s="6"/>
      <x:c r="AA1" s="6"/>
    </x:row>
    <x:row r="2" ht="30" customHeight="1">
      <x:c r="A2" s="88"/>
      <x:c r="B2" s="89"/>
      <x:c r="C2" s="89"/>
      <x:c r="D2" s="89"/>
      <x:c r="E2" s="89"/>
      <x:c r="F2" s="89"/>
      <x:c r="G2" s="82" t="s">
        <x:v>14</x:v>
      </x:c>
      <x:c r="H2" s="82" t="s">
        <x:v>15</x:v>
      </x:c>
      <x:c r="I2" s="89"/>
      <x:c r="J2" s="89"/>
      <x:c r="K2" s="89"/>
      <x:c r="L2" s="89"/>
      <x:c r="M2" s="89"/>
      <x:c r="N2" s="89"/>
      <x:c r="O2" s="89"/>
      <x:c r="P2" s="90" t="str">
        <x:v>Core / Supporting / Comparator</x:v>
      </x:c>
      <x:c r="Q2" s="90" t="str">
        <x:v>Section/theme</x:v>
      </x:c>
      <x:c r="R2" s="90" t="str">
        <x:v>Why we cite this paper</x:v>
      </x:c>
      <x:c r="S2" s="90" t="str">
        <x:v>Plain-text DOI or stable source</x:v>
      </x:c>
      <x:c r="T2" s="90" t="str">
        <x:v>What this row was grounded in</x:v>
      </x:c>
      <x:c r="U2" s="91" t="str">
        <x:v>Team check</x:v>
      </x:c>
      <x:c r="V2" s="6"/>
      <x:c r="W2" s="6"/>
      <x:c r="X2" s="6"/>
      <x:c r="Y2" s="6"/>
      <x:c r="Z2" s="6"/>
      <x:c r="AA2" s="6"/>
    </x:row>
    <x:row r="3" ht="78" customHeight="1">
      <x:c r="A3" s="109" t="n">
        <x:v>1</x:v>
      </x:c>
      <x:c r="B3" s="107" t="str">
        <x:v>Autoregressive Conditional Heteroscedasticity with Estimates of the Variance of United Kingdom Inflation</x:v>
      </x:c>
      <x:c r="C3" s="116" t="n">
        <x:v>1982</x:v>
      </x:c>
      <x:c r="D3" s="107" t="str">
        <x:v>Robert F. Engle</x:v>
      </x:c>
      <x:c r="E3" s="107" t="str">
        <x:v>Econometrica 50(4), 987–1007</x:v>
      </x:c>
      <x:c r="F3" s="107" t="str">
        <x:v>Top-tier general economics/econometrics journal; verify current ABDC/ABS list</x:v>
      </x:c>
      <x:c r="G3" s="107" t="str">
        <x:v>ARCH; time-varying conditional variance; volatility clustering.</x:v>
      </x:c>
      <x:c r="H3" s="106" t="str">
        <x:v>Can conditional variance be modelled as a function of past squared innovations, and can such heteroskedasticity be estimated and tested?</x:v>
      </x:c>
      <x:c r="I3" s="107" t="str">
        <x:v>Introduces ARCH regression; derives likelihood-based estimation/testing and provides an empirical inflation application.</x:v>
      </x:c>
      <x:c r="J3" s="107" t="str">
        <x:v>UK inflation empirical application; exact observation count should be checked in the full paper.</x:v>
      </x:c>
      <x:c r="K3" s="107" t="str">
        <x:v>Conditional variance / inflation innovation variance.</x:v>
      </x:c>
      <x:c r="L3" s="107" t="str">
        <x:v>Lagged squared innovations and mean-equation regressors.</x:v>
      </x:c>
      <x:c r="M3" s="106" t="str">
        <x:v>Establishes that conditional variance can be systematically time-varying and predictable from past shocks; provides the foundation for ARCH-family volatility models.</x:v>
      </x:c>
      <x:c r="N3" s="108" t="str">
        <x:v>ARCH(q) may require many lags to reproduce persistent financial volatility; paper is not focused on equity-tail forecasting.</x:v>
      </x:c>
      <x:c r="O3" s="107" t="str">
        <x:v>Generalize the variance recursion more parsimoniously and apply conditional heteroskedasticity models to financial returns.</x:v>
      </x:c>
      <x:c r="P3" s="109" t="str">
        <x:v>Core</x:v>
      </x:c>
      <x:c r="Q3" s="109" t="str">
        <x:v>GARCH foundations</x:v>
      </x:c>
      <x:c r="R3" s="109" t="str">
        <x:v>Historical foundation for conditional heteroskedasticity. Cite when motivating why return volatility is modelled dynamically rather than treated as constant.</x:v>
      </x:c>
      <x:c r="S3" s="109" t="str">
        <x:v>https://doi.org/10.2307/1912773</x:v>
      </x:c>
      <x:c r="T3" s="109" t="str">
        <x:v>Bibliographic metadata + established paper content; verify detailed sample in full text.</x:v>
      </x:c>
      <x:c r="U3" s="109" t="str">
        <x:v>To verify</x:v>
      </x:c>
      <x:c r="V3" s="13"/>
      <x:c r="W3" s="13"/>
      <x:c r="X3" s="13"/>
      <x:c r="Y3" s="13"/>
      <x:c r="Z3" s="13"/>
      <x:c r="AA3" s="13"/>
    </x:row>
    <x:row r="4" ht="78" customHeight="1">
      <x:c r="A4" s="109" t="n">
        <x:v>2</x:v>
      </x:c>
      <x:c r="B4" s="106" t="str">
        <x:v>Generalized Autoregressive Conditional Heteroskedasticity</x:v>
      </x:c>
      <x:c r="C4" s="116" t="n">
        <x:v>1986</x:v>
      </x:c>
      <x:c r="D4" s="106" t="str">
        <x:v>Tim Bollerslev</x:v>
      </x:c>
      <x:c r="E4" s="106" t="str">
        <x:v>Journal of Econometrics 31(3), 307–327</x:v>
      </x:c>
      <x:c r="F4" s="106" t="str">
        <x:v>Leading econometrics journal; verify current ABDC/ABS list</x:v>
      </x:c>
      <x:c r="G4" s="106" t="str">
        <x:v>GARCH; parsimonious persistence in conditional variance.</x:v>
      </x:c>
      <x:c r="H4" s="106" t="str">
        <x:v>Can ARCH be generalized by allowing lagged conditional variances to enter the variance recursion?</x:v>
      </x:c>
      <x:c r="I4" s="106" t="str">
        <x:v>Develops GARCH(p,q), derives stationarity/moment properties and maximum-likelihood estimation; includes empirical illustration.</x:v>
      </x:c>
      <x:c r="J4" s="106" t="str">
        <x:v>Theoretical paper with empirical illustration; exact empirical sample should be checked in the full paper.</x:v>
      </x:c>
      <x:c r="K4" s="106" t="str">
        <x:v>Conditional variance.</x:v>
      </x:c>
      <x:c r="L4" s="106" t="str">
        <x:v>Lagged squared innovations and lagged conditional variances.</x:v>
      </x:c>
      <x:c r="M4" s="106" t="str">
        <x:v>GARCH provides a parsimonious way to capture volatility persistence. GARCH(1,1) became the standard baseline for financial volatility modelling.</x:v>
      </x:c>
      <x:c r="N4" s="106" t="str">
        <x:v>Symmetric standard GARCH does not distinguish positive from negative shocks and does not by itself solve heavy-tail distributional misspecification.</x:v>
      </x:c>
      <x:c r="O4" s="106" t="str">
        <x:v>Asymmetric variance dynamics, alternative innovation distributions, multivariate and realized-measure extensions.</x:v>
      </x:c>
      <x:c r="P4" s="109" t="str">
        <x:v>Core</x:v>
      </x:c>
      <x:c r="Q4" s="109" t="str">
        <x:v>GARCH foundations</x:v>
      </x:c>
      <x:c r="R4" s="109" t="str">
        <x:v>Baseline model architecture and persistence benchmark; motivates the daily-return volatility component used before GJR/EVT refinements.</x:v>
      </x:c>
      <x:c r="S4" s="109" t="str">
        <x:v>https://doi.org/10.1016/0304-4076(86)90063-1</x:v>
      </x:c>
      <x:c r="T4" s="109" t="str">
        <x:v>Bibliographic metadata + canonical model contribution; verify empirical illustration details in full text.</x:v>
      </x:c>
      <x:c r="U4" s="109" t="str">
        <x:v>To verify</x:v>
      </x:c>
      <x:c r="V4" s="13"/>
      <x:c r="W4" s="13"/>
      <x:c r="X4" s="13"/>
      <x:c r="Y4" s="13"/>
      <x:c r="Z4" s="13"/>
      <x:c r="AA4" s="13"/>
    </x:row>
    <x:row r="5" ht="78" customHeight="1">
      <x:c r="A5" s="109" t="n">
        <x:v>3</x:v>
      </x:c>
      <x:c r="B5" s="106" t="str">
        <x:v>Conditional Heteroskedasticity in Asset Returns: A New Approach</x:v>
      </x:c>
      <x:c r="C5" s="109" t="n">
        <x:v>1991</x:v>
      </x:c>
      <x:c r="D5" s="106" t="str">
        <x:v>Daniel B. Nelson</x:v>
      </x:c>
      <x:c r="E5" s="106" t="str">
        <x:v>Econometrica 59(2), 347–370</x:v>
      </x:c>
      <x:c r="F5" s="106" t="str">
        <x:v>Top-tier general economics/econometrics journal; verify current ABDC/ABS list</x:v>
      </x:c>
      <x:c r="G5" s="106" t="str">
        <x:v>EGARCH; asymmetric/leverage response; log variance.</x:v>
      </x:c>
      <x:c r="H5" s="106" t="str">
        <x:v>Can a volatility model capture asymmetric responses to positive and negative return shocks while avoiding positivity constraints on variance parameters?</x:v>
      </x:c>
      <x:c r="I5" s="107" t="str">
        <x:v>Introduces exponential GARCH with log-variance dynamics and signed standardized shocks; empirical asset-return application.</x:v>
      </x:c>
      <x:c r="J5" s="110" t="str">
        <x:v>Financial asset-return application; exact sample details should be verified from the paper.</x:v>
      </x:c>
      <x:c r="K5" s="106" t="str">
        <x:v>Log conditional variance / asset return volatility.</x:v>
      </x:c>
      <x:c r="L5" s="106" t="str">
        <x:v>Lagged log variance, magnitude of standardized shocks, signed standardized shocks.</x:v>
      </x:c>
      <x:c r="M5" s="106" t="str">
        <x:v>EGARCH provides a flexible asymmetric volatility specification and captures leverage-type effects without imposing the usual non-negativity constraints.</x:v>
      </x:c>
      <x:c r="N5" s="107" t="str">
        <x:v>Complex nonlinear dynamics; later diagnostics show EGARCH can sometimes imply excessive conditional-variance variability.</x:v>
      </x:c>
      <x:c r="O5" s="106" t="str">
        <x:v>Compare alternative asymmetric ARCH structures and improve tail/distribution modelling.</x:v>
      </x:c>
      <x:c r="P5" s="109" t="str">
        <x:v>Core</x:v>
      </x:c>
      <x:c r="Q5" s="109" t="str">
        <x:v>Asymmetric GARCH</x:v>
      </x:c>
      <x:c r="R5" s="109" t="str">
        <x:v>Justifies EGARCH as the main asymmetric comparator to GJR in the baseline model-selection exercise.</x:v>
      </x:c>
      <x:c r="S5" s="109" t="str">
        <x:v>https://doi.org/10.2307/2938260</x:v>
      </x:c>
      <x:c r="T5" s="109" t="str">
        <x:v>JSTOR bibliographic record + established model contribution; empirical details need full-paper verification.</x:v>
      </x:c>
      <x:c r="U5" s="109" t="str">
        <x:v>To verify</x:v>
      </x:c>
      <x:c r="V5" s="13"/>
      <x:c r="W5" s="13"/>
      <x:c r="X5" s="13"/>
      <x:c r="Y5" s="13"/>
      <x:c r="Z5" s="13"/>
      <x:c r="AA5" s="13"/>
    </x:row>
    <x:row r="6" ht="78" customHeight="1">
      <x:c r="A6" s="109" t="n">
        <x:v>4</x:v>
      </x:c>
      <x:c r="B6" s="106" t="str">
        <x:v>On the Relation between the Expected Value and the Volatility of the Nominal Excess Return on Stocks</x:v>
      </x:c>
      <x:c r="C6" s="109" t="n">
        <x:v>1993</x:v>
      </x:c>
      <x:c r="D6" s="106" t="str">
        <x:v>Lawrence R. Glosten; Ravi Jagannathan; David E. Runkle</x:v>
      </x:c>
      <x:c r="E6" s="111" t="str">
        <x:v>The Journal of Finance 48(5), 1779–1801</x:v>
      </x:c>
      <x:c r="F6" s="111" t="str">
        <x:v>Top-tier finance journal; verify current ABDC/ABS list</x:v>
      </x:c>
      <x:c r="G6" s="106" t="str">
        <x:v>GJR-GARCH; asymmetric response of volatility to positive/negative innovations.</x:v>
      </x:c>
      <x:c r="H6" s="106" t="str">
        <x:v>How are expected excess returns and conditional volatility related, and does bad news have a different effect on volatility from good news?</x:v>
      </x:c>
      <x:c r="I6" s="106" t="str">
        <x:v>Modified GARCH-in-mean model allowing seasonal volatility, asymmetric shock effects and interest-rate predictors.</x:v>
      </x:c>
      <x:c r="J6" s="106" t="str">
        <x:v>US stock-market return data; exact sample period/observation count should be checked in full text.</x:v>
      </x:c>
      <x:c r="K6" s="106" t="str">
        <x:v>Conditional variance and expected excess stock return.</x:v>
      </x:c>
      <x:c r="L6" s="106" t="str">
        <x:v>Lagged variance, squared return innovations, negative-shock indicator interactions, interest-rate variables.</x:v>
      </x:c>
      <x:c r="M6" s="106" t="str">
        <x:v>Finds evidence that positive and negative return innovations have different impacts on conditional volatility; the threshold structure became the GJR-GARCH specification.</x:v>
      </x:c>
      <x:c r="N6" s="107" t="str">
        <x:v>Original paper addresses risk-return relations as well as volatility; the GJR variance form is not itself a full tail-risk model.</x:v>
      </x:c>
      <x:c r="O6" s="106" t="str">
        <x:v>Use asymmetric variance dynamics in forecasting and combine with heavy-tailed innovations or tail-specific methods.</x:v>
      </x:c>
      <x:c r="P6" s="109" t="str">
        <x:v>Core</x:v>
      </x:c>
      <x:c r="Q6" s="109" t="str">
        <x:v>Asymmetric GARCH</x:v>
      </x:c>
      <x:c r="R6" s="109" t="str">
        <x:v>Direct theoretical basis for the project's primary GJR variance filter.</x:v>
      </x:c>
      <x:c r="S6" s="109" t="str">
        <x:v>https://doi.org/10.1111/j.1540-6261.1993.tb05128.x</x:v>
      </x:c>
      <x:c r="T6" s="109" t="str">
        <x:v>Publisher abstract/full bibliographic page.</x:v>
      </x:c>
      <x:c r="U6" s="109" t="str">
        <x:v>To verify</x:v>
      </x:c>
      <x:c r="V6" s="13"/>
      <x:c r="W6" s="13"/>
      <x:c r="X6" s="13"/>
      <x:c r="Y6" s="13"/>
      <x:c r="Z6" s="13"/>
      <x:c r="AA6" s="13"/>
    </x:row>
    <x:row r="7" ht="78" customHeight="1">
      <x:c r="A7" s="109" t="n">
        <x:v>5</x:v>
      </x:c>
      <x:c r="B7" s="106" t="str">
        <x:v>Measuring and Testing the Impact of News on Volatility</x:v>
      </x:c>
      <x:c r="C7" s="109" t="n">
        <x:v>1993</x:v>
      </x:c>
      <x:c r="D7" s="106" t="str">
        <x:v>Robert F. Engle; Victor K. Ng</x:v>
      </x:c>
      <x:c r="E7" s="106" t="str">
        <x:v>The Journal of Finance 48(5), 1749–1778</x:v>
      </x:c>
      <x:c r="F7" s="106" t="str">
        <x:v>Top-tier finance journal; verify current ABDC/ABS list</x:v>
      </x:c>
      <x:c r="G7" s="106" t="str">
        <x:v>News-impact curves; sign bias; asymmetric volatility diagnostics.</x:v>
      </x:c>
      <x:c r="H7" s="106" t="str">
        <x:v>How should the asymmetric effect of news on volatility be measured and tested, and which ARCH specifications best capture it?</x:v>
      </x:c>
      <x:c r="I7" s="106" t="str">
        <x:v>Defines the news-impact curve; proposes sign, negative-size and positive-size bias tests; compares ARCH models on Japanese equity returns.</x:v>
      </x:c>
      <x:c r="J7" s="110" t="str">
        <x:v>Daily Japanese stock returns, 1980–1988; robustness also uses a pre-crash subsample.</x:v>
      </x:c>
      <x:c r="K7" s="106" t="str">
        <x:v>Conditional volatility / diagnostic residual variance behaviour.</x:v>
      </x:c>
      <x:c r="L7" s="106" t="str">
        <x:v>Positive/negative return innovations and their magnitudes.</x:v>
      </x:c>
      <x:c r="M7" s="106" t="str">
        <x:v>Negative shocks generate more volatility than positive shocks, especially for large shocks. The GJR model is the best parametric model in their comparison; EGARCH captures much asymmetry but may imply excessive variance variability.</x:v>
      </x:c>
      <x:c r="N7" s="106" t="str">
        <x:v>Single main national equity-market application; diagnostics assess volatility asymmetry rather than extreme-tail calibration directly.</x:v>
      </x:c>
      <x:c r="O7" s="106" t="str">
        <x:v>Use flexible/nonparametric news-impact structures and apply the diagnostic tests to alternative volatility models and markets.</x:v>
      </x:c>
      <x:c r="P7" s="109" t="str">
        <x:v>Core</x:v>
      </x:c>
      <x:c r="Q7" s="109" t="str">
        <x:v>Asymmetric GARCH</x:v>
      </x:c>
      <x:c r="R7" s="109" t="str">
        <x:v>Direct justification for the project's Engle–Ng diagnostics and for selecting an asymmetric GJR filter before EVT.</x:v>
      </x:c>
      <x:c r="S7" s="109" t="str">
        <x:v>https://doi.org/10.1111/j.1540-6261.1993.tb05127.x</x:v>
      </x:c>
      <x:c r="T7" s="109" t="str">
        <x:v>Publisher full-text page/abstract and conclusion.</x:v>
      </x:c>
      <x:c r="U7" s="109" t="str">
        <x:v>To verify</x:v>
      </x:c>
      <x:c r="V7" s="13"/>
      <x:c r="W7" s="13"/>
      <x:c r="X7" s="13"/>
      <x:c r="Y7" s="13"/>
      <x:c r="Z7" s="13"/>
      <x:c r="AA7" s="13"/>
    </x:row>
    <x:row r="8" ht="78" customHeight="1">
      <x:c r="A8" s="109" t="n">
        <x:v>6</x:v>
      </x:c>
      <x:c r="B8" s="106" t="str">
        <x:v>Autoregressive Conditional Density Estimation</x:v>
      </x:c>
      <x:c r="C8" s="109" t="n">
        <x:v>1994</x:v>
      </x:c>
      <x:c r="D8" s="106" t="str">
        <x:v>Bruce E. Hansen</x:v>
      </x:c>
      <x:c r="E8" s="106" t="str">
        <x:v>International Economic Review 35(3), 705–730</x:v>
      </x:c>
      <x:c r="F8" s="106" t="str">
        <x:v>Leading economics/econometrics journal; verify current ABDC/ABS list</x:v>
      </x:c>
      <x:c r="G8" s="106" t="str">
        <x:v>Conditional density estimation; skewed Student-t innovations.</x:v>
      </x:c>
      <x:c r="H8" s="106" t="str">
        <x:v>How can conditional densities be estimated flexibly while allowing time-varying higher moments and asymmetric heavy-tailed innovations?</x:v>
      </x:c>
      <x:c r="I8" s="106" t="str">
        <x:v>Develops parametric conditional density methods including the skewed Student-t distribution used widely in GARCH applications.</x:v>
      </x:c>
      <x:c r="J8" s="107" t="str">
        <x:v>Empirical financial applications; exact samples should be verified in the paper.</x:v>
      </x:c>
      <x:c r="K8" s="106" t="str">
        <x:v>Conditional return density.</x:v>
      </x:c>
      <x:c r="L8" s="106" t="str">
        <x:v>Conditional mean/variance state variables and skewed-t shape parameters.</x:v>
      </x:c>
      <x:c r="M8" s="106" t="str">
        <x:v>Provides a tractable skewed Student-t conditional density that can jointly accommodate excess kurtosis and skewness.</x:v>
      </x:c>
      <x:c r="N8" s="106" t="str">
        <x:v>A single parametric density can still miss very extreme tail behaviour; tail shape is imposed globally rather than estimated only from extremes.</x:v>
      </x:c>
      <x:c r="O8" s="106" t="str">
        <x:v>Compare flexible conditional densities with semiparametric/EVT tail methods.</x:v>
      </x:c>
      <x:c r="P8" s="116" t="str">
        <x:v>Core</x:v>
      </x:c>
      <x:c r="Q8" s="112" t="str">
        <x:v>Heavy-tailed GARCH</x:v>
      </x:c>
      <x:c r="R8" s="112" t="str">
        <x:v>Methodological basis for the project's skew-t innovation benchmark, which is intentionally stronger than Gaussian or symmetric-t GARCH.</x:v>
      </x:c>
      <x:c r="S8" s="112" t="str">
        <x:v>https://doi.org/10.2307/2527081</x:v>
      </x:c>
      <x:c r="T8" s="112" t="str">
        <x:v>Author/publisher bibliographic information; exact empirical details need full-paper verification.</x:v>
      </x:c>
      <x:c r="U8" s="116" t="str">
        <x:v>To verify</x:v>
      </x:c>
    </x:row>
    <x:row r="9" ht="78" customHeight="1">
      <x:c r="A9" s="109" t="n">
        <x:v>7</x:v>
      </x:c>
      <x:c r="B9" s="107" t="str">
        <x:v>Forecasting Volatility in Financial Markets: A Review</x:v>
      </x:c>
      <x:c r="C9" s="109" t="n">
        <x:v>2003</x:v>
      </x:c>
      <x:c r="D9" s="106" t="str">
        <x:v>Ser-Huang Poon; Clive W. J. Granger</x:v>
      </x:c>
      <x:c r="E9" s="106" t="str">
        <x:v>Journal of Economic Literature 41(2), 478–539</x:v>
      </x:c>
      <x:c r="F9" s="106" t="str">
        <x:v>Top review journal in economics; verify current ABDC/ABS list</x:v>
      </x:c>
      <x:c r="G9" s="106" t="str">
        <x:v>Volatility forecasting; realized vs implied information; forecast evaluation.</x:v>
      </x:c>
      <x:c r="H9" s="108" t="str">
        <x:v>What has the empirical literature learned about forecasting financial-market volatility, and how should volatility forecasts be evaluated?</x:v>
      </x:c>
      <x:c r="I9" s="106" t="str">
        <x:v>Review of 93 papers; compares historical-volatility and option-implied approaches across asset classes/regions.</x:v>
      </x:c>
      <x:c r="J9" s="107" t="str">
        <x:v>93 volatility-forecasting studies from the prior two decades.</x:v>
      </x:c>
      <x:c r="K9" s="107" t="str">
        <x:v>Forecast performance of volatility models.</x:v>
      </x:c>
      <x:c r="L9" s="106" t="str">
        <x:v>Model class, data frequency, realized/implied information, evaluation method.</x:v>
      </x:c>
      <x:c r="M9" s="106" t="str">
        <x:v>Emphasizes forecasting rather than in-sample modelling; highlights measurement of 'actual' volatility, data-frequency issues, extreme values and forecast-evaluation design.</x:v>
      </x:c>
      <x:c r="N9" s="106" t="str">
        <x:v>Review predates modern Realized GARCH, joint VaR–ES scoring and much of the post-GFC literature.</x:v>
      </x:c>
      <x:c r="O9" s="106" t="str">
        <x:v>Use improved high-frequency volatility measures, better forecast comparisons and richer information sets.</x:v>
      </x:c>
      <x:c r="P9" s="116" t="str">
        <x:v>Core</x:v>
      </x:c>
      <x:c r="Q9" s="112" t="str">
        <x:v>Volatility forecasting overview</x:v>
      </x:c>
      <x:c r="R9" s="112" t="str">
        <x:v>Useful framing source for distinguishing model fit from genuine out-of-sample forecast accuracy.</x:v>
      </x:c>
      <x:c r="S9" s="112" t="str">
        <x:v>https://doi.org/10.1257/002205103765762743</x:v>
      </x:c>
      <x:c r="T9" s="112" t="str">
        <x:v>AEA publisher abstract.</x:v>
      </x:c>
      <x:c r="U9" s="116" t="str">
        <x:v>To verify</x:v>
      </x:c>
    </x:row>
    <x:row r="10" ht="78" customHeight="1">
      <x:c r="A10" s="109" t="n">
        <x:v>8</x:v>
      </x:c>
      <x:c r="B10" s="113" t="str">
        <x:v>Residual Life Time at Great Age</x:v>
      </x:c>
      <x:c r="C10" s="109" t="n">
        <x:v>1974</x:v>
      </x:c>
      <x:c r="D10" s="108" t="str">
        <x:v>A. A. Balkema; Laurens de Haan</x:v>
      </x:c>
      <x:c r="E10" s="106" t="str">
        <x:v>The Annals of Probability 2(5), 792–804</x:v>
      </x:c>
      <x:c r="F10" s="106" t="str">
        <x:v>Leading probability journal; verify current ranking separately</x:v>
      </x:c>
      <x:c r="G10" s="106" t="str">
        <x:v>Peaks-over-threshold limit theory; generalized Pareto approximation.</x:v>
      </x:c>
      <x:c r="H10" s="106" t="str">
        <x:v>What limiting distribution describes residual/excess life beyond a sufficiently high threshold?</x:v>
      </x:c>
      <x:c r="I10" s="106" t="str">
        <x:v>Probability-limit theory establishing the generalized Pareto form for threshold exceedances under broad conditions.</x:v>
      </x:c>
      <x:c r="J10" s="106" t="str">
        <x:v>Theoretical; no empirical sample.</x:v>
      </x:c>
      <x:c r="K10" s="106" t="str">
        <x:v>Distribution of threshold exceedances.</x:v>
      </x:c>
      <x:c r="L10" s="106" t="str">
        <x:v>High threshold and underlying parent distribution/domain of attraction.</x:v>
      </x:c>
      <x:c r="M10" s="106" t="str">
        <x:v>Provides one of the two foundational results showing that exceedances over high thresholds converge to a generalized Pareto family.</x:v>
      </x:c>
      <x:c r="N10" s="106" t="str">
        <x:v>Asymptotic theorem does not tell practitioners exactly how high a finite-sample threshold should be.</x:v>
      </x:c>
      <x:c r="O10" s="106" t="str">
        <x:v>Threshold-selection, dependence and finite-sample estimation methods for practical EVT.</x:v>
      </x:c>
      <x:c r="P10" s="109" t="str">
        <x:v>Core</x:v>
      </x:c>
      <x:c r="Q10" s="109" t="str">
        <x:v>EVT foundations</x:v>
      </x:c>
      <x:c r="R10" s="109" t="str">
        <x:v>Mathematical justification for using the GPD in the project's POT tail stage.</x:v>
      </x:c>
      <x:c r="S10" s="109" t="str">
        <x:v>https://doi.org/10.1214/aop/1176996548</x:v>
      </x:c>
      <x:c r="T10" s="109" t="str">
        <x:v>Foundational theorem/bibliographic record; no empirical claims.</x:v>
      </x:c>
      <x:c r="U10" s="109" t="str">
        <x:v>To verify</x:v>
      </x:c>
      <x:c r="V10" s="13"/>
      <x:c r="W10" s="13"/>
      <x:c r="X10" s="13"/>
      <x:c r="Y10" s="13"/>
      <x:c r="Z10" s="13"/>
      <x:c r="AA10" s="13"/>
    </x:row>
    <x:row r="11" ht="78" customHeight="1">
      <x:c r="A11" s="109" t="n">
        <x:v>9</x:v>
      </x:c>
      <x:c r="B11" s="106" t="str">
        <x:v>Statistical Inference Using Extreme Order Statistics</x:v>
      </x:c>
      <x:c r="C11" s="109" t="n">
        <x:v>1975</x:v>
      </x:c>
      <x:c r="D11" s="106" t="str">
        <x:v>James Pickands III</x:v>
      </x:c>
      <x:c r="E11" s="106" t="str">
        <x:v>The Annals of Statistics 3(1), 119–131</x:v>
      </x:c>
      <x:c r="F11" s="106" t="str">
        <x:v>Leading statistics journal; verify current ranking separately</x:v>
      </x:c>
      <x:c r="G11" s="106" t="str">
        <x:v>Extreme-value domains of attraction; generalized Pareto threshold inference.</x:v>
      </x:c>
      <x:c r="H11" s="106" t="str">
        <x:v>How can extreme order statistics be used for statistical inference on tail behaviour?</x:v>
      </x:c>
      <x:c r="I11" s="106" t="str">
        <x:v>Asymptotic theory for inference using extremes; foundational result underlying the generalized Pareto threshold approximation.</x:v>
      </x:c>
      <x:c r="J11" s="106" t="str">
        <x:v>Theoretical; no empirical sample.</x:v>
      </x:c>
      <x:c r="K11" s="106" t="str">
        <x:v>Extreme-tail distribution/functionals.</x:v>
      </x:c>
      <x:c r="L11" s="106" t="str">
        <x:v>Extreme order statistics and threshold level.</x:v>
      </x:c>
      <x:c r="M11" s="106" t="str">
        <x:v>Provides the second classic theoretical foundation for the GPD/POT approach used in EVT.</x:v>
      </x:c>
      <x:c r="N11" s="106" t="str">
        <x:v>Finite-sample threshold bias-variance trade-offs are not resolved automatically by the asymptotic result.</x:v>
      </x:c>
      <x:c r="O11" s="106" t="str">
        <x:v>Practical diagnostics and estimators for finite financial samples.</x:v>
      </x:c>
      <x:c r="P11" s="109" t="str">
        <x:v>Core</x:v>
      </x:c>
      <x:c r="Q11" s="109" t="str">
        <x:v>EVT foundations</x:v>
      </x:c>
      <x:c r="R11" s="109" t="str">
        <x:v>Theoretical foundation for POT/GPD; cite alongside Balkema–de Haan.</x:v>
      </x:c>
      <x:c r="S11" s="109" t="str">
        <x:v>https://doi.org/10.1214/aos/1176343003</x:v>
      </x:c>
      <x:c r="T11" s="109" t="str">
        <x:v>Foundational theorem/bibliographic record.</x:v>
      </x:c>
      <x:c r="U11" s="109" t="str">
        <x:v>To verify</x:v>
      </x:c>
      <x:c r="V11" s="13"/>
      <x:c r="W11" s="13"/>
      <x:c r="X11" s="13"/>
      <x:c r="Y11" s="13"/>
      <x:c r="Z11" s="13"/>
      <x:c r="AA11" s="13"/>
    </x:row>
    <x:row r="12" ht="78" customHeight="1">
      <x:c r="A12" s="109" t="n">
        <x:v>10</x:v>
      </x:c>
      <x:c r="B12" s="107" t="str">
        <x:v>A Simple General Approach to Inference About the Tail of a Distribution</x:v>
      </x:c>
      <x:c r="C12" s="109" t="n">
        <x:v>1975</x:v>
      </x:c>
      <x:c r="D12" s="106" t="str">
        <x:v>Bruce M. Hill</x:v>
      </x:c>
      <x:c r="E12" s="106" t="str">
        <x:v>The Annals of Statistics 3(5), 1163–1174</x:v>
      </x:c>
      <x:c r="F12" s="106" t="str">
        <x:v>Leading statistics journal; verify current ranking separately</x:v>
      </x:c>
      <x:c r="G12" s="106" t="str">
        <x:v>Tail-index estimation; heavy-tail regular variation.</x:v>
      </x:c>
      <x:c r="H12" s="106" t="str">
        <x:v>Can the tail index be estimated using only the largest order statistics without specifying the full distribution?</x:v>
      </x:c>
      <x:c r="I12" s="106" t="str">
        <x:v>Introduces the Hill estimator for heavy-tail index inference based on upper order statistics.</x:v>
      </x:c>
      <x:c r="J12" s="106" t="str">
        <x:v>Theoretical with illustrative applications; exact illustrations should be checked in the paper.</x:v>
      </x:c>
      <x:c r="K12" s="106" t="str">
        <x:v>Tail index / tail heaviness.</x:v>
      </x:c>
      <x:c r="L12" s="106" t="str">
        <x:v>Largest order statistics and chosen number of tail observations.</x:v>
      </x:c>
      <x:c r="M12" s="106" t="str">
        <x:v>Establishes a widely used semiparametric estimator of heavy-tail strength based only on extreme observations.</x:v>
      </x:c>
      <x:c r="N12" s="106" t="str">
        <x:v>Highly sensitive to the number of extremes/threshold used and assumes a heavy-tail domain appropriate for the estimator.</x:v>
      </x:c>
      <x:c r="O12" s="106" t="str">
        <x:v>Threshold-selection and more robust tail-index estimation.</x:v>
      </x:c>
      <x:c r="P12" s="109" t="str">
        <x:v>Supporting</x:v>
      </x:c>
      <x:c r="Q12" s="109" t="str">
        <x:v>EVT diagnostics</x:v>
      </x:c>
      <x:c r="R12" s="109" t="str">
        <x:v>Supports the project's Hill-type tail diagnostics and the interpretation of residual heavy tails.</x:v>
      </x:c>
      <x:c r="S12" s="109" t="str">
        <x:v>https://doi.org/10.1214/aos/1176343247</x:v>
      </x:c>
      <x:c r="T12" s="109" t="str">
        <x:v>Foundational method/bibliographic record.</x:v>
      </x:c>
      <x:c r="U12" s="109" t="str">
        <x:v>To verify</x:v>
      </x:c>
      <x:c r="V12" s="13"/>
      <x:c r="W12" s="13"/>
      <x:c r="X12" s="13"/>
      <x:c r="Y12" s="13"/>
      <x:c r="Z12" s="13"/>
      <x:c r="AA12" s="13"/>
    </x:row>
    <x:row r="13" ht="78" customHeight="1">
      <x:c r="A13" s="109" t="n">
        <x:v>11</x:v>
      </x:c>
      <x:c r="B13" s="106" t="str">
        <x:v>Models for Exceedances over High Thresholds</x:v>
      </x:c>
      <x:c r="C13" s="109" t="n">
        <x:v>1990</x:v>
      </x:c>
      <x:c r="D13" s="107" t="str">
        <x:v>A. C. Davison; R. L. Smith</x:v>
      </x:c>
      <x:c r="E13" s="106" t="str">
        <x:v>Journal of the Royal Statistical Society Series B 52(3), 393–425</x:v>
      </x:c>
      <x:c r="F13" s="106" t="str">
        <x:v>Leading statistics methodology journal; verify current ranking separately</x:v>
      </x:c>
      <x:c r="G13" s="106" t="str">
        <x:v>POT/GPD estimation; threshold diagnostics; point-process extremes; dependence.</x:v>
      </x:c>
      <x:c r="H13" s="106" t="str">
        <x:v>How should exceedances over a high threshold be modelled, estimated and diagnosed in applied extreme-value problems?</x:v>
      </x:c>
      <x:c r="I13" s="106" t="str">
        <x:v>Develops GPD estimation/model checking, regression extensions, seasonal and serial-dependence models; applied case studies.</x:v>
      </x:c>
      <x:c r="J13" s="106" t="str">
        <x:v>Several environmental extreme-value datasets (river flows, wave heights and related applications).</x:v>
      </x:c>
      <x:c r="K13" s="106" t="str">
        <x:v>Exceedance magnitudes and occurrence process.</x:v>
      </x:c>
      <x:c r="L13" s="106" t="str">
        <x:v>Threshold, covariates, seasonal/dependence terms.</x:v>
      </x:c>
      <x:c r="M13" s="106" t="str">
        <x:v>Systematizes practical POT modelling and emphasizes both threshold choice and dependence among exceedances.</x:v>
      </x:c>
      <x:c r="N13" s="106" t="str">
        <x:v>Application examples are not financial; threshold choice remains an empirical bias-variance problem.</x:v>
      </x:c>
      <x:c r="O13" s="106" t="str">
        <x:v>Extend GPD exceedance models with covariates, nonstationarity and dependence structures.</x:v>
      </x:c>
      <x:c r="P13" s="109" t="str">
        <x:v>Core</x:v>
      </x:c>
      <x:c r="Q13" s="109" t="str">
        <x:v>EVT methodology</x:v>
      </x:c>
      <x:c r="R13" s="109" t="str">
        <x:v>Key source for threshold diagnostics and for adding an exceedance-independence/declustering check in the project.</x:v>
      </x:c>
      <x:c r="S13" s="109" t="str">
        <x:v>https://doi.org/10.1111/j.2517-6161.1990.tb01796.x</x:v>
      </x:c>
      <x:c r="T13" s="109" t="str">
        <x:v>Publisher summary/full bibliographic page.</x:v>
      </x:c>
      <x:c r="U13" s="109" t="str">
        <x:v>To verify</x:v>
      </x:c>
      <x:c r="V13" s="13"/>
      <x:c r="W13" s="13"/>
      <x:c r="X13" s="13"/>
      <x:c r="Y13" s="13"/>
      <x:c r="Z13" s="13"/>
      <x:c r="AA13" s="13"/>
    </x:row>
    <x:row r="14" ht="78" customHeight="1">
      <x:c r="A14" s="109" t="n">
        <x:v>12</x:v>
      </x:c>
      <x:c r="B14" s="106" t="str">
        <x:v>Estimation of tail-related risk measures for heteroscedastic financial time series: an extreme value approach</x:v>
      </x:c>
      <x:c r="C14" s="109" t="n">
        <x:v>2000</x:v>
      </x:c>
      <x:c r="D14" s="106" t="str">
        <x:v>Alexander J. McNeil; Rüdiger Frey</x:v>
      </x:c>
      <x:c r="E14" s="106" t="str">
        <x:v>Journal of Empirical Finance 7(3–4), 271–300</x:v>
      </x:c>
      <x:c r="F14" s="106" t="str">
        <x:v>Established financial econometrics journal; verify current ABDC/ABS list</x:v>
      </x:c>
      <x:c r="G14" s="106" t="str">
        <x:v>Conditional EVT; GARCH filtering + POT/GPD; VaR and ES.</x:v>
      </x:c>
      <x:c r="H14" s="106" t="str">
        <x:v>Can EVT be combined with a volatility filter to estimate conditional VaR and ES for heteroscedastic financial returns?</x:v>
      </x:c>
      <x:c r="I14" s="106" t="str">
        <x:v>Two-stage procedure: pseudo-ML GARCH filtering for current volatility, then EVT/GPD estimation of innovation tails; conditional VaR and ES backtesting.</x:v>
      </x:c>
      <x:c r="J14" s="106" t="str">
        <x:v>Multiple financial return series; exact assets and dates should be checked directly in the full paper.</x:v>
      </x:c>
      <x:c r="K14" s="106" t="str">
        <x:v>Conditional VaR and expected shortfall forecasts.</x:v>
      </x:c>
      <x:c r="L14" s="106" t="str">
        <x:v>GARCH conditional mean/volatility and standardized residual-tail exceedances.</x:v>
      </x:c>
      <x:c r="M14" s="106" t="str">
        <x:v>Filtered EVT produces strong conditional tail-risk forecasts and explicitly separates volatility dynamics from residual-tail estimation.</x:v>
      </x:c>
      <x:c r="N14" s="106" t="str">
        <x:v>Relies on an adequate first-stage volatility filter and sufficiently independent standardized residual extremes; threshold choice matters.</x:v>
      </x:c>
      <x:c r="O14" s="106" t="str">
        <x:v>Alternative filters, dynamic thresholds/tail parameters, realized-information and covariate extensions.</x:v>
      </x:c>
      <x:c r="P14" s="109" t="str">
        <x:v>Core</x:v>
      </x:c>
      <x:c r="Q14" s="109" t="str">
        <x:v>GARCH-EVT</x:v>
      </x:c>
      <x:c r="R14" s="109" t="str">
        <x:v>Governing methodological paper for the project's causal GJR-GARCH + POT/GPD VaR/ES model.</x:v>
      </x:c>
      <x:c r="S14" s="109" t="str">
        <x:v>https://doi.org/10.1016/S0927-5398(00)00012-8</x:v>
      </x:c>
      <x:c r="T14" s="109" t="str">
        <x:v>ScienceDirect publisher abstract; full-paper details to verify when attached.</x:v>
      </x:c>
      <x:c r="U14" s="109" t="str">
        <x:v>To verify</x:v>
      </x:c>
      <x:c r="V14" s="13"/>
      <x:c r="W14" s="13"/>
      <x:c r="X14" s="13"/>
      <x:c r="Y14" s="13"/>
      <x:c r="Z14" s="13"/>
      <x:c r="AA14" s="13"/>
    </x:row>
    <x:row r="15" ht="78" customHeight="1">
      <x:c r="A15" s="109" t="n">
        <x:v>13</x:v>
      </x:c>
      <x:c r="B15" s="106" t="str">
        <x:v>Value-at-Risk Prediction: A Comparison of Alternative Strategies</x:v>
      </x:c>
      <x:c r="C15" s="109" t="n">
        <x:v>2006</x:v>
      </x:c>
      <x:c r="D15" s="106" t="str">
        <x:v>Katharina Kuester; Stefan Mittnik; Marc S. Paolella</x:v>
      </x:c>
      <x:c r="E15" s="106" t="str">
        <x:v>Journal of Financial Econometrics 4(1), 53–89</x:v>
      </x:c>
      <x:c r="F15" s="106" t="str">
        <x:v>Leading financial econometrics field journal; verify current ABDC/ABS list</x:v>
      </x:c>
      <x:c r="G15" s="106" t="str">
        <x:v>Comparative VaR forecasting; heavy-tailed GARCH; EVT; CAViaR and alternatives.</x:v>
      </x:c>
      <x:c r="H15" s="106" t="str">
        <x:v>Which competing VaR methodologies provide the most accurate risk forecasts in a long financial return sample?</x:v>
      </x:c>
      <x:c r="I15" s="106" t="str">
        <x:v>Large empirical comparison of parametric, semiparametric and EVT VaR models with backtesting.</x:v>
      </x:c>
      <x:c r="J15" s="106" t="str">
        <x:v>More than 30 years of NASDAQ returns (paper-specific exact dates should be checked).</x:v>
      </x:c>
      <x:c r="K15" s="106" t="str">
        <x:v>Out-of-sample VaR forecasts and violation diagnostics.</x:v>
      </x:c>
      <x:c r="L15" s="106" t="str">
        <x:v>Alternative volatility/distribution/tail model classes.</x:v>
      </x:c>
      <x:c r="M15" s="106" t="str">
        <x:v>Heavy-tailed GARCH with EVT performs particularly strongly in their comparison, highlighting the importance of modelling both heteroskedasticity and tail shape.</x:v>
      </x:c>
      <x:c r="N15" s="106" t="str">
        <x:v>Single principal equity index and model set reflects methods available at the time; predates Realized GARCH and modern joint VaR–ES scores.</x:v>
      </x:c>
      <x:c r="O15" s="106" t="str">
        <x:v>Broader assets, realized information and improved comparative forecast evaluation.</x:v>
      </x:c>
      <x:c r="P15" s="109" t="str">
        <x:v>Core</x:v>
      </x:c>
      <x:c r="Q15" s="109" t="str">
        <x:v>Comparative tail forecasting</x:v>
      </x:c>
      <x:c r="R15" s="109" t="str">
        <x:v>Important comparator showing why GARCH-EVT has historically performed well, while our benchmark is stronger (GJR-skew-t).</x:v>
      </x:c>
      <x:c r="S15" s="109" t="str">
        <x:v>https://doi.org/10.1093/jjfinec/nbj002</x:v>
      </x:c>
      <x:c r="T15" s="109" t="str">
        <x:v>Publisher/RePEc metadata and published study description; verify exact sample details in paper.</x:v>
      </x:c>
      <x:c r="U15" s="109" t="str">
        <x:v>To verify</x:v>
      </x:c>
      <x:c r="V15" s="13"/>
      <x:c r="W15" s="13"/>
      <x:c r="X15" s="13"/>
      <x:c r="Y15" s="13"/>
      <x:c r="Z15" s="13"/>
      <x:c r="AA15" s="13"/>
    </x:row>
    <x:row r="16" ht="78" customHeight="1">
      <x:c r="A16" s="109" t="n">
        <x:v>14</x:v>
      </x:c>
      <x:c r="B16" s="106" t="str">
        <x:v>Predicting tail-related risk measures: The consequences of using GARCH filters for non-GARCH data</x:v>
      </x:c>
      <x:c r="C16" s="109" t="n">
        <x:v>2008</x:v>
      </x:c>
      <x:c r="D16" s="106" t="str">
        <x:v>Amine Jalal; Michael Rockinger</x:v>
      </x:c>
      <x:c r="E16" s="106" t="str">
        <x:v>Journal of Empirical Finance 15(5), 868–877</x:v>
      </x:c>
      <x:c r="F16" s="106" t="str">
        <x:v>Established financial econometrics journal; verify current ABDC/ABS list</x:v>
      </x:c>
      <x:c r="G16" s="106" t="str">
        <x:v>GARCH-filter misspecification; conditional EVT robustness; VaR and ES.</x:v>
      </x:c>
      <x:c r="H16" s="106" t="str">
        <x:v>How robust is the McNeil–Frey two-stage procedure when the true data-generating process is not well represented by GARCH?</x:v>
      </x:c>
      <x:c r="I16" s="106" t="str">
        <x:v>Simulation/misspecification study comparing filtered and unfiltered tail estimators and parametric density assumptions.</x:v>
      </x:c>
      <x:c r="J16" s="106" t="str">
        <x:v>Simulated non-GARCH processes; exact designs should be checked in full paper.</x:v>
      </x:c>
      <x:c r="K16" s="106" t="str">
        <x:v>VaR and ES forecast accuracy.</x:v>
      </x:c>
      <x:c r="L16" s="106" t="str">
        <x:v>Filtering method / data-generating process / tail estimation method.</x:v>
      </x:c>
      <x:c r="M16" s="106" t="str">
        <x:v>McNeil–Frey generally has very good forecasting properties; parametric Gaussian or Student-t density assumptions can give wrong tail predictions under misspecification. Adequacy testing of filtered data is important.</x:v>
      </x:c>
      <x:c r="N16" s="106" t="str">
        <x:v>Simulation-oriented; conclusions depend on the misspecification designs considered.</x:v>
      </x:c>
      <x:c r="O16" s="106" t="str">
        <x:v>More flexible filters and explicit tests for remaining dependence/density adequacy in standardized residuals.</x:v>
      </x:c>
      <x:c r="P16" s="109" t="str">
        <x:v>Core</x:v>
      </x:c>
      <x:c r="Q16" s="109" t="str">
        <x:v>GARCH-EVT diagnostics</x:v>
      </x:c>
      <x:c r="R16" s="109" t="str">
        <x:v>Direct justification for checking residual and squared-residual dependence before trusting the project's EVT stage.</x:v>
      </x:c>
      <x:c r="S16" s="109" t="str">
        <x:v>https://doi.org/10.1016/j.jempfin.2008.02.004</x:v>
      </x:c>
      <x:c r="T16" s="109" t="str">
        <x:v>ScienceDirect publisher abstract.</x:v>
      </x:c>
      <x:c r="U16" s="109" t="str">
        <x:v>To verify</x:v>
      </x:c>
      <x:c r="V16" s="13"/>
      <x:c r="W16" s="13"/>
      <x:c r="X16" s="13"/>
      <x:c r="Y16" s="13"/>
      <x:c r="Z16" s="13"/>
      <x:c r="AA16" s="13"/>
    </x:row>
    <x:row r="17" ht="78" customHeight="1">
      <x:c r="A17" s="109" t="n">
        <x:v>15</x:v>
      </x:c>
      <x:c r="B17" s="106" t="str">
        <x:v>Can Volatility Models Explain Extreme Events?</x:v>
      </x:c>
      <x:c r="C17" s="109" t="n">
        <x:v>2018</x:v>
      </x:c>
      <x:c r="D17" s="106" t="str">
        <x:v>Luca Trapin</x:v>
      </x:c>
      <x:c r="E17" s="106" t="str">
        <x:v>Journal of Financial Econometrics 16(2), 297–315</x:v>
      </x:c>
      <x:c r="F17" s="106" t="str">
        <x:v>Leading financial econometrics field journal; verify current ABDC/ABS list</x:v>
      </x:c>
      <x:c r="G17" s="106" t="str">
        <x:v>Extremal dependence; leverage; high-frequency-based volatility models.</x:v>
      </x:c>
      <x:c r="H17" s="106" t="str">
        <x:v>Can standard volatility models reproduce the serial dependence observed specifically among extreme returns?</x:v>
      </x:c>
      <x:c r="I17" s="106" t="str">
        <x:v>Theoretical analysis of extremal properties plus large empirical comparison of volatility processes/models.</x:v>
      </x:c>
      <x:c r="J17" s="106" t="str">
        <x:v>Large empirical financial-return application; exact assets/sample should be checked in the full paper.</x:v>
      </x:c>
      <x:c r="K17" s="106" t="str">
        <x:v>Extremal dependence / ability to explain extreme returns.</x:v>
      </x:c>
      <x:c r="L17" s="106" t="str">
        <x:v>Alternative volatility dynamics, leverage components and high-frequency-based volatility processes.</x:v>
      </x:c>
      <x:c r="M17" s="106" t="str">
        <x:v>Extreme returns show strong persistent dependence; negative extremes are more correlated than positive extremes. Models need both extremal dependence and leverage to explain extreme events well.</x:v>
      </x:c>
      <x:c r="N17" s="106" t="str">
        <x:v>Focuses on extremal dependence rather than the exact three-model forecasting design used here.</x:v>
      </x:c>
      <x:c r="O17" s="106" t="str">
        <x:v>Develop volatility/tail models that explicitly reproduce extremal clustering and asymmetric extreme dependence.</x:v>
      </x:c>
      <x:c r="P17" s="109" t="str">
        <x:v>Core</x:v>
      </x:c>
      <x:c r="Q17" s="109" t="str">
        <x:v>Extreme-event dynamics</x:v>
      </x:c>
      <x:c r="R17" s="109" t="str">
        <x:v>Strong motivation for testing POT exceedance clustering, especially after observing possible HSI tail dependence.</x:v>
      </x:c>
      <x:c r="S17" s="109" t="str">
        <x:v>https://doi.org/10.1093/jjfinec/nbx031</x:v>
      </x:c>
      <x:c r="T17" s="109" t="str">
        <x:v>Oxford Academic publisher abstract.</x:v>
      </x:c>
      <x:c r="U17" s="109" t="str">
        <x:v>To verify</x:v>
      </x:c>
      <x:c r="V17" s="13"/>
      <x:c r="W17" s="13"/>
      <x:c r="X17" s="13"/>
      <x:c r="Y17" s="13"/>
      <x:c r="Z17" s="13"/>
      <x:c r="AA17" s="13"/>
    </x:row>
    <x:row r="18" ht="78" customHeight="1">
      <x:c r="A18" s="109" t="n">
        <x:v>16</x:v>
      </x:c>
      <x:c r="B18" s="106" t="str">
        <x:v>Realizing the extremes: Estimation of tail-risk measures from a high-frequency perspective</x:v>
      </x:c>
      <x:c r="C18" s="109" t="n">
        <x:v>2016</x:v>
      </x:c>
      <x:c r="D18" s="106" t="str">
        <x:v>Marco Bee; Debbie J. Dupuis; Luca Trapin</x:v>
      </x:c>
      <x:c r="E18" s="106" t="str">
        <x:v>Journal of Empirical Finance 36, 86–99</x:v>
      </x:c>
      <x:c r="F18" s="106" t="str">
        <x:v>Established financial econometrics journal; verify current ABDC/ABS list</x:v>
      </x:c>
      <x:c r="G18" s="106" t="str">
        <x:v>Realized-volatility pre-whitening + EVT; high-frequency tail-risk forecasting.</x:v>
      </x:c>
      <x:c r="H18" s="106" t="str">
        <x:v>Can high-frequency-based volatility models provide a better pre-whitening stage for EVT than conventional conditional EVT?</x:v>
      </x:c>
      <x:c r="I18" s="106" t="str">
        <x:v>Two-step realized-EVT approach; compares high-frequency pre-whitening with McNeil–Frey GARCH-EVT for one- and ten-day VaR/ES.</x:v>
      </x:c>
      <x:c r="J18" s="106" t="str">
        <x:v>Financial return/high-frequency data; exact assets and sample should be verified from the full paper.</x:v>
      </x:c>
      <x:c r="K18" s="106" t="str">
        <x:v>VaR and ES forecast performance; residual extremal dependence.</x:v>
      </x:c>
      <x:c r="L18" s="106" t="str">
        <x:v>GARCH vs realized-volatility pre-whitening and EVT tail fit.</x:v>
      </x:c>
      <x:c r="M18" s="106" t="str">
        <x:v>GARCH-type models filter dependence well, while the realized-EVT approach appears preferable for risk forecasting, particularly at longer horizons.</x:v>
      </x:c>
      <x:c r="N18" s="106" t="str">
        <x:v>Results depend on realized-measure quality and are not a direct comparison with Realized GARCH or QR.</x:v>
      </x:c>
      <x:c r="O18" s="106" t="str">
        <x:v>Dynamic/high-frequency tail models and joint realized-volatility/EVT systems.</x:v>
      </x:c>
      <x:c r="P18" s="109" t="str">
        <x:v>Comparator</x:v>
      </x:c>
      <x:c r="Q18" s="109" t="str">
        <x:v>Realized + EVT</x:v>
      </x:c>
      <x:c r="R18" s="109" t="str">
        <x:v>Shows that realized information can enter the filtering stage before EVT; useful future-extension context for Realized-GARCH-EVT.</x:v>
      </x:c>
      <x:c r="S18" s="109" t="str">
        <x:v>https://doi.org/10.1016/j.jempfin.2016.01.006</x:v>
      </x:c>
      <x:c r="T18" s="109" t="str">
        <x:v>ScienceDirect publisher abstract/highlights.</x:v>
      </x:c>
      <x:c r="U18" s="109" t="str">
        <x:v>To verify</x:v>
      </x:c>
      <x:c r="V18" s="13"/>
      <x:c r="W18" s="13"/>
      <x:c r="X18" s="13"/>
      <x:c r="Y18" s="13"/>
      <x:c r="Z18" s="13"/>
      <x:c r="AA18" s="13"/>
    </x:row>
    <x:row r="19" ht="78" customHeight="1">
      <x:c r="A19" s="109" t="n">
        <x:v>17</x:v>
      </x:c>
      <x:c r="B19" s="106" t="str">
        <x:v>Forecasting tail risk measures for financial time series: An extreme value approach with covariates</x:v>
      </x:c>
      <x:c r="C19" s="109" t="n">
        <x:v>2023</x:v>
      </x:c>
      <x:c r="D19" s="106" t="str">
        <x:v>Robert James; Henry Leung; Jessica Wai Yin Leung; Artem Prokhorov</x:v>
      </x:c>
      <x:c r="E19" s="106" t="str">
        <x:v>Journal of Empirical Finance 71, 29–50</x:v>
      </x:c>
      <x:c r="F19" s="106" t="str">
        <x:v>Established financial econometrics journal; verify current ABDC/ABS list</x:v>
      </x:c>
      <x:c r="G19" s="106" t="str">
        <x:v>Regularized GARCH-EVT with time-varying financial/economic covariates.</x:v>
      </x:c>
      <x:c r="H19" s="106" t="str">
        <x:v>Can a sparse, time-varying set of covariates improve GARCH-EVT VaR and ES forecasts?</x:v>
      </x:c>
      <x:c r="I19" s="106" t="str">
        <x:v>Regularized extension of McNeil–Frey where covariates affect the scale of the EVT distribution; rich US equity data and OOS comparisons.</x:v>
      </x:c>
      <x:c r="J19" s="106" t="str">
        <x:v>Rich US equity-market data; exact sample dates/feature set should be verified in the paper.</x:v>
      </x:c>
      <x:c r="K19" s="106" t="str">
        <x:v>VaR and ES forecasts.</x:v>
      </x:c>
      <x:c r="L19" s="106" t="str">
        <x:v>GARCH state plus selected economic/financial covariates entering EVT scale.</x:v>
      </x:c>
      <x:c r="M19" s="106" t="str">
        <x:v>Covariate-augmented EVT can generate accurate VaR/ES forecasts, with particular gains during periods of financial distress.</x:v>
      </x:c>
      <x:c r="N19" s="106" t="str">
        <x:v>More complex model-selection layer; results are US-equity focused and may be sensitive to regularization choices.</x:v>
      </x:c>
      <x:c r="O19" s="106" t="str">
        <x:v>Broader markets and dynamic covariate/tail structures.</x:v>
      </x:c>
      <x:c r="P19" s="109" t="str">
        <x:v>Comparator</x:v>
      </x:c>
      <x:c r="Q19" s="109" t="str">
        <x:v>Modern EVT</x:v>
      </x:c>
      <x:c r="R19" s="109" t="str">
        <x:v>Important caveat that modern EVT can also exploit exogenous information; QR is not uniquely capable of using predictors.</x:v>
      </x:c>
      <x:c r="S19" s="109" t="str">
        <x:v>https://doi.org/10.1016/j.jempfin.2023.01.002</x:v>
      </x:c>
      <x:c r="T19" s="109" t="str">
        <x:v>ScienceDirect publisher abstract/highlights.</x:v>
      </x:c>
      <x:c r="U19" s="109" t="str">
        <x:v>To verify</x:v>
      </x:c>
      <x:c r="V19" s="13"/>
      <x:c r="W19" s="13"/>
      <x:c r="X19" s="13"/>
      <x:c r="Y19" s="13"/>
      <x:c r="Z19" s="13"/>
      <x:c r="AA19" s="13"/>
    </x:row>
    <x:row r="20" ht="78" customHeight="1">
      <x:c r="A20" s="109" t="n">
        <x:v>18</x:v>
      </x:c>
      <x:c r="B20" s="106" t="str">
        <x:v>Answering the Skeptics: Yes, Standard Volatility Models Do Provide Accurate Forecasts</x:v>
      </x:c>
      <x:c r="C20" s="109" t="n">
        <x:v>1998</x:v>
      </x:c>
      <x:c r="D20" s="106" t="str">
        <x:v>Torben G. Andersen; Tim Bollerslev</x:v>
      </x:c>
      <x:c r="E20" s="106" t="str">
        <x:v>International Economic Review 39(4), 885–905</x:v>
      </x:c>
      <x:c r="F20" s="106" t="str">
        <x:v>Leading economics journal; verify current ABDC/ABS list</x:v>
      </x:c>
      <x:c r="G20" s="106" t="str">
        <x:v>High-frequency realized volatility as an ex-post benchmark; volatility forecast evaluation.</x:v>
      </x:c>
      <x:c r="H20" s="106" t="str">
        <x:v>Do standard ARCH/stochastic-volatility models truly forecast poorly, or is conventional evaluation using noisy volatility proxies misleading?</x:v>
      </x:c>
      <x:c r="I20" s="106" t="str">
        <x:v>Uses improved ex-post volatility measurement based on high-frequency intraday data to re-evaluate interdaily volatility forecasts.</x:v>
      </x:c>
      <x:c r="J20" s="106" t="str">
        <x:v>Financial market volatility applications; exact assets/sample should be checked in the full paper.</x:v>
      </x:c>
      <x:c r="K20" s="106" t="str">
        <x:v>Latent/interdaily volatility forecast accuracy.</x:v>
      </x:c>
      <x:c r="L20" s="106" t="str">
        <x:v>ARCH/SV volatility forecasts and high-frequency realized-volatility benchmarks.</x:v>
      </x:c>
      <x:c r="M20" s="106" t="str">
        <x:v>Shows that standard volatility models can forecast latent volatility much more accurately than evaluations based on crude proxies suggest.</x:v>
      </x:c>
      <x:c r="N20" s="106" t="str">
        <x:v>Predates modern realized-measure estimators and Realized GARCH; high-frequency measurement itself contains noise.</x:v>
      </x:c>
      <x:c r="O20" s="106" t="str">
        <x:v>Improve realized-volatility measurement and use it systematically in forecast evaluation.</x:v>
      </x:c>
      <x:c r="P20" s="109" t="str">
        <x:v>Core</x:v>
      </x:c>
      <x:c r="Q20" s="109" t="str">
        <x:v>Realized volatility foundations</x:v>
      </x:c>
      <x:c r="R20" s="109" t="str">
        <x:v>Core justification for evaluating variance forecasts against realized measures rather than squared daily returns.</x:v>
      </x:c>
      <x:c r="S20" s="109" t="str">
        <x:v>https://doi.org/10.2307/2527343</x:v>
      </x:c>
      <x:c r="T20" s="109" t="str">
        <x:v>Kellogg publisher/institutional summary; verify DOI/page details in full paper.</x:v>
      </x:c>
      <x:c r="U20" s="109" t="str">
        <x:v>To verify</x:v>
      </x:c>
      <x:c r="V20" s="13"/>
      <x:c r="W20" s="13"/>
      <x:c r="X20" s="13"/>
      <x:c r="Y20" s="13"/>
      <x:c r="Z20" s="13"/>
      <x:c r="AA20" s="13"/>
    </x:row>
    <x:row r="21" ht="78" customHeight="1">
      <x:c r="A21" s="109" t="n">
        <x:v>19</x:v>
      </x:c>
      <x:c r="B21" s="106" t="str">
        <x:v>Modeling and Forecasting Realized Volatility</x:v>
      </x:c>
      <x:c r="C21" s="109" t="n">
        <x:v>2003</x:v>
      </x:c>
      <x:c r="D21" s="107" t="str">
        <x:v>Torben G. Andersen; Tim Bollerslev; Francis X. Diebold; Paul Labys</x:v>
      </x:c>
      <x:c r="E21" s="106" t="str">
        <x:v>Econometrica 71(2), 579–625</x:v>
      </x:c>
      <x:c r="F21" s="106" t="str">
        <x:v>Top-tier general economics/econometrics journal; verify current ABDC/ABS list</x:v>
      </x:c>
      <x:c r="G21" s="106" t="str">
        <x:v>Quadratic variation; realized volatility; high-frequency measurement and forecasting.</x:v>
      </x:c>
      <x:c r="H21" s="106" t="str">
        <x:v>How can high-frequency intraday returns be integrated into measurement, modelling and forecasting of daily/lower-frequency volatility and return distributions?</x:v>
      </x:c>
      <x:c r="I21" s="106" t="str">
        <x:v>Constructs realized volatility from high-frequency data and develops empirical modelling/forecasting framework.</x:v>
      </x:c>
      <x:c r="J21" s="106" t="str">
        <x:v>High-frequency financial-market data; exact markets/sample should be checked in the paper.</x:v>
      </x:c>
      <x:c r="K21" s="106" t="str">
        <x:v>Daily/lower-frequency realized volatility and return-distribution characteristics.</x:v>
      </x:c>
      <x:c r="L21" s="106" t="str">
        <x:v>Intraday returns and lagged realized-volatility dynamics.</x:v>
      </x:c>
      <x:c r="M21" s="106" t="str">
        <x:v>Establishes realized volatility as a practical observable proxy closely connected to quadratic variation and demonstrates strong forecasting structure.</x:v>
      </x:c>
      <x:c r="N21" s="106" t="str">
        <x:v>Realized volatility remains a noisy proxy in finite samples; microstructure noise becomes important at very high frequency.</x:v>
      </x:c>
      <x:c r="O21" s="106" t="str">
        <x:v>Noise-robust realized estimators and joint return–realized-volatility models.</x:v>
      </x:c>
      <x:c r="P21" s="116" t="str">
        <x:v>Core</x:v>
      </x:c>
      <x:c r="Q21" s="112" t="str">
        <x:v>Realized volatility foundations</x:v>
      </x:c>
      <x:c r="R21" s="112" t="str">
        <x:v>Primary theoretical/empirical foundation for the project's intraday RV construction.</x:v>
      </x:c>
      <x:c r="S21" s="112" t="str">
        <x:v>https://doi.org/10.1111/1468-0262.00418</x:v>
      </x:c>
      <x:c r="T21" s="112" t="str">
        <x:v>Wiley/ Econometrica publisher abstract.</x:v>
      </x:c>
      <x:c r="U21" s="116" t="str">
        <x:v>To verify</x:v>
      </x:c>
    </x:row>
    <x:row r="22" ht="78" customHeight="1">
      <x:c r="A22" s="116" t="n">
        <x:v>20</x:v>
      </x:c>
      <x:c r="B22" s="107" t="str">
        <x:v>A Tale of Two Time Scales: Determining Integrated Volatility with Noisy High-Frequency Data</x:v>
      </x:c>
      <x:c r="C22" s="116" t="n">
        <x:v>2005</x:v>
      </x:c>
      <x:c r="D22" s="114" t="str">
        <x:v>Lan Zhang; Per A. Mykland; Yacine Aït-Sahalia</x:v>
      </x:c>
      <x:c r="E22" s="107" t="str">
        <x:v>Journal of the American Statistical Association 100(472), 1394–1411</x:v>
      </x:c>
      <x:c r="F22" s="107" t="str">
        <x:v>Leading statistics journal; verify current ranking separately</x:v>
      </x:c>
      <x:c r="G22" s="107" t="str">
        <x:v>Market microstructure noise; two-scale realized-volatility estimation; subsampling.</x:v>
      </x:c>
      <x:c r="H22" s="107" t="str">
        <x:v>Why does ordinary realized variance fail at the highest sampling frequencies, and how can integrated volatility be estimated consistently in the presence of noise?</x:v>
      </x:c>
      <x:c r="I22" s="107" t="str">
        <x:v>Derives noisy high-frequency asymptotics and a two-scales estimator; analyzes optimal sampling when noise is small.</x:v>
      </x:c>
      <x:c r="J22" s="107" t="str">
        <x:v>Theoretical plus empirical illustration; exact empirical dataset should be verified in the paper.</x:v>
      </x:c>
      <x:c r="K22" s="107" t="str">
        <x:v>Integrated volatility.</x:v>
      </x:c>
      <x:c r="L22" s="107" t="str">
        <x:v>High-frequency observed returns contaminated by microstructure noise; sampling scale.</x:v>
      </x:c>
      <x:c r="M22" s="107" t="str">
        <x:v>Shows formally that ever-finer sampling is not automatically better and develops a noise-robust two-scale estimator.</x:v>
      </x:c>
      <x:c r="N22" s="107" t="str">
        <x:v>Implementation is more complex than simple 5-minute RV and relies on the assumed noise framework.</x:v>
      </x:c>
      <x:c r="O22" s="107" t="str">
        <x:v>Noise-robust realized measures, kernels, pre-averaging and improved subsampling methods.</x:v>
      </x:c>
      <x:c r="P22" s="116" t="str">
        <x:v>Core</x:v>
      </x:c>
      <x:c r="Q22" s="112" t="str">
        <x:v>High-frequency measurement</x:v>
      </x:c>
      <x:c r="R22" s="112" t="str">
        <x:v>Justifies the project's frequency-sensitivity exercise and the need to implement any 'subsampled RV' claim correctly.</x:v>
      </x:c>
      <x:c r="S22" s="112" t="str">
        <x:v>https://doi.org/10.1198/016214505000000169</x:v>
      </x:c>
      <x:c r="T22" s="112" t="str">
        <x:v>NBER + Princeton publication record/abstract.</x:v>
      </x:c>
      <x:c r="U22" s="116" t="str">
        <x:v>To verify</x:v>
      </x:c>
    </x:row>
    <x:row r="23" ht="78" customHeight="1">
      <x:c r="A23" s="116" t="n">
        <x:v>21</x:v>
      </x:c>
      <x:c r="B23" s="107" t="str">
        <x:v>Designing Realized Kernels to Measure the ex post Variation of Equity Prices in the Presence of Noise</x:v>
      </x:c>
      <x:c r="C23" s="116" t="n">
        <x:v>2008</x:v>
      </x:c>
      <x:c r="D23" s="107" t="str">
        <x:v>Ole E. Barndorff-Nielsen; Peter R. Hansen; Asger Lunde; Neil Shephard</x:v>
      </x:c>
      <x:c r="E23" s="107" t="str">
        <x:v>Econometrica 76(6), 1481–1536</x:v>
      </x:c>
      <x:c r="F23" s="107" t="str">
        <x:v>Top-tier general economics/econometrics journal; verify current ABDC/ABS list</x:v>
      </x:c>
      <x:c r="G23" s="115" t="str">
        <x:v>Realized kernels; microstructure-noise robust quadratic-variation estimation.</x:v>
      </x:c>
      <x:c r="H23" s="107" t="str">
        <x:v>How can ex-post equity-price variation be estimated efficiently when observed prices contain dependent/endogenous market microstructure noise?</x:v>
      </x:c>
      <x:c r="I23" s="107" t="str">
        <x:v>Develops realized-kernel estimators with optimal convergence properties; simulation and empirical applications.</x:v>
      </x:c>
      <x:c r="J23" s="107" t="str">
        <x:v>Simulation plus empirical equity high-frequency data.</x:v>
      </x:c>
      <x:c r="K23" s="107" t="str">
        <x:v>Ex-post quadratic variation / integrated volatility.</x:v>
      </x:c>
      <x:c r="L23" s="107" t="str">
        <x:v>High-frequency returns, kernel weights, noise structure.</x:v>
      </x:c>
      <x:c r="M23" s="107" t="str">
        <x:v>Realized kernels can provide efficient feasible inference on underlying price variation while accommodating dependent/endogenous noise.</x:v>
      </x:c>
      <x:c r="N23" s="107" t="str">
        <x:v>More complex than simple RV; performance depends on tuning choices and noise structure.</x:v>
      </x:c>
      <x:c r="O23" s="107" t="str">
        <x:v>Broader robust realized measures and integration into forecasting/risk models.</x:v>
      </x:c>
      <x:c r="P23" s="116" t="str">
        <x:v>Supporting</x:v>
      </x:c>
      <x:c r="Q23" s="112" t="str">
        <x:v>High-frequency measurement</x:v>
      </x:c>
      <x:c r="R23" s="112" t="str">
        <x:v>Benchmark robust realized measure; useful when discussing why plain 5-minute RV is supplemented by frequency/robustness checks.</x:v>
      </x:c>
      <x:c r="S23" s="112" t="str">
        <x:v>https://doi.org/10.3982/ECTA6495</x:v>
      </x:c>
      <x:c r="T23" s="112" t="str">
        <x:v>Wiley publisher abstract.</x:v>
      </x:c>
      <x:c r="U23" s="116" t="str">
        <x:v>To verify</x:v>
      </x:c>
    </x:row>
    <x:row r="24" ht="78" customHeight="1">
      <x:c r="A24" s="116" t="n">
        <x:v>22</x:v>
      </x:c>
      <x:c r="B24" s="107" t="str">
        <x:v>Correcting the Errors: Volatility Forecast Evaluation Using High-Frequency Data and Realized Volatilities</x:v>
      </x:c>
      <x:c r="C24" s="116" t="n">
        <x:v>2005</x:v>
      </x:c>
      <x:c r="D24" s="107" t="str">
        <x:v>Torben G. Andersen; Tim Bollerslev; Nour Meddahi</x:v>
      </x:c>
      <x:c r="E24" s="107" t="str">
        <x:v>Econometrica 73(1), 279–296</x:v>
      </x:c>
      <x:c r="F24" s="107" t="str">
        <x:v>Top-tier general economics/econometrics journal; verify current ABDC/ABS list</x:v>
      </x:c>
      <x:c r="G24" s="107" t="str">
        <x:v>Measurement-error correction in volatility forecast evaluation.</x:v>
      </x:c>
      <x:c r="H24" s="107" t="str">
        <x:v>How should volatility forecast loss functions be adjusted when realized-volatility benchmarks themselves contain measurement error?</x:v>
      </x:c>
      <x:c r="I24" s="107" t="str">
        <x:v>Develops model-free adjustment procedures based on asymptotic distribution theory for realized-volatility measurement error.</x:v>
      </x:c>
      <x:c r="J24" s="107" t="str">
        <x:v>Theoretical methods with empirically realistic calibration/application.</x:v>
      </x:c>
      <x:c r="K24" s="107" t="str">
        <x:v>Unbiased volatility-loss measures / estimated degree of volatility predictability.</x:v>
      </x:c>
      <x:c r="L24" s="107" t="str">
        <x:v>Forecasts, realized-volatility benchmark and measurement-error properties.</x:v>
      </x:c>
      <x:c r="M24" s="107" t="str">
        <x:v>Accounting for measurement error can materially alter conclusions about volatility forecast quality and can imply greater true predictability than naive evaluation suggests.</x:v>
      </x:c>
      <x:c r="N24" s="107" t="str">
        <x:v>Requires assumptions/estimates concerning realized-measure error; not directly a tail-risk paper.</x:v>
      </x:c>
      <x:c r="O24" s="107" t="str">
        <x:v>Improved proxy-robust forecast evaluation and higher-quality realized measures.</x:v>
      </x:c>
      <x:c r="P24" s="116" t="str">
        <x:v>Core</x:v>
      </x:c>
      <x:c r="Q24" s="112" t="str">
        <x:v>Volatility evaluation</x:v>
      </x:c>
      <x:c r="R24" s="112" t="str">
        <x:v>Supports careful interpretation of RVProxy as an imperfect but much better volatility benchmark.</x:v>
      </x:c>
      <x:c r="S24" s="112" t="str">
        <x:v>https://doi.org/10.1111/j.1468-0262.2005.00572.x</x:v>
      </x:c>
      <x:c r="T24" s="112" t="str">
        <x:v>Wiley publisher abstract.</x:v>
      </x:c>
      <x:c r="U24" s="116" t="str">
        <x:v>To verify</x:v>
      </x:c>
    </x:row>
    <x:row r="25" ht="78" customHeight="1">
      <x:c r="A25" s="116" t="n">
        <x:v>23</x:v>
      </x:c>
      <x:c r="B25" s="107" t="str">
        <x:v>Consistent Ranking of Volatility Models</x:v>
      </x:c>
      <x:c r="C25" s="116" t="n">
        <x:v>2006</x:v>
      </x:c>
      <x:c r="D25" s="107" t="str">
        <x:v>Peter R. Hansen; Asger Lunde</x:v>
      </x:c>
      <x:c r="E25" s="107" t="str">
        <x:v>Journal of Econometrics 131(1–2), 97–121</x:v>
      </x:c>
      <x:c r="F25" s="107" t="str">
        <x:v>Leading econometrics journal; verify current ABDC/ABS list</x:v>
      </x:c>
      <x:c r="G25" s="107" t="str">
        <x:v>Proxy-robust ranking of volatility models.</x:v>
      </x:c>
      <x:c r="H25" s="107" t="str">
        <x:v>Can noisy volatility proxies cause the empirical ranking of competing volatility models to be inconsistent with the true ranking?</x:v>
      </x:c>
      <x:c r="I25" s="107" t="str">
        <x:v>General theoretical results plus simulations and empirical application comparing volatility-model rankings under alternative proxies.</x:v>
      </x:c>
      <x:c r="J25" s="107" t="str">
        <x:v>Simulation + empirical financial-volatility application.</x:v>
      </x:c>
      <x:c r="K25" s="107" t="str">
        <x:v>Ranking of competing conditional-variance forecasts.</x:v>
      </x:c>
      <x:c r="L25" s="107" t="str">
        <x:v>Volatility proxy choice and competing model forecasts.</x:v>
      </x:c>
      <x:c r="M25" s="107" t="str">
        <x:v>Using squared returns as a variance proxy can select an inferior model with probability approaching one; realized variance provides a strong argument for more consistent OOS evaluation.</x:v>
      </x:c>
      <x:c r="N25" s="107" t="str">
        <x:v>A realized proxy is still imperfect; consistency depends on conditions on proxy errors and loss.</x:v>
      </x:c>
      <x:c r="O25" s="107" t="str">
        <x:v>Use high-quality realized measures and proxy-robust loss functions.</x:v>
      </x:c>
      <x:c r="P25" s="116" t="str">
        <x:v>Core</x:v>
      </x:c>
      <x:c r="Q25" s="112" t="str">
        <x:v>Volatility evaluation</x:v>
      </x:c>
      <x:c r="R25" s="112" t="str">
        <x:v>Direct justification for using realized variance rather than squared returns when comparing GJR and Realized GARCH.</x:v>
      </x:c>
      <x:c r="S25" s="112" t="str">
        <x:v>https://doi.org/10.1016/j.jeconom.2005.01.005</x:v>
      </x:c>
      <x:c r="T25" s="112" t="str">
        <x:v>ScienceDirect publisher abstract.</x:v>
      </x:c>
      <x:c r="U25" s="116" t="str">
        <x:v>To verify</x:v>
      </x:c>
    </x:row>
    <x:row r="26" ht="78" customHeight="1">
      <x:c r="A26" s="116" t="n">
        <x:v>24</x:v>
      </x:c>
      <x:c r="B26" s="107" t="str">
        <x:v>Does Anything Beat 5-Minute RV? A Comparison of Realized Measures Across Multiple Asset Classes</x:v>
      </x:c>
      <x:c r="C26" s="116" t="n">
        <x:v>2015</x:v>
      </x:c>
      <x:c r="D26" s="107" t="str">
        <x:v>Lily Y. Liu; Andrew J. Patton; Kevin Sheppard</x:v>
      </x:c>
      <x:c r="E26" s="107" t="str">
        <x:v>Journal of Econometrics 187(1), 293–311</x:v>
      </x:c>
      <x:c r="F26" s="107" t="str">
        <x:v>Leading econometrics journal; verify current ABDC/ABS list</x:v>
      </x:c>
      <x:c r="G26" s="107" t="str">
        <x:v>Comparison of realized-volatility estimators across assets.</x:v>
      </x:c>
      <x:c r="H26" s="107" t="str">
        <x:v>Do more sophisticated high-frequency realized measures significantly outperform simple 5-minute realized variance?</x:v>
      </x:c>
      <x:c r="I26" s="107" t="str">
        <x:v>Compares 400+ realized estimators using ranking/inference methods across many assets and forecast applications.</x:v>
      </x:c>
      <x:c r="J26" s="107" t="str">
        <x:v>11 years; 31 financial assets spanning five asset classes.</x:v>
      </x:c>
      <x:c r="K26" s="107" t="str">
        <x:v>Accuracy/ranking of realized measures and forecasts based on them.</x:v>
      </x:c>
      <x:c r="L26" s="107" t="str">
        <x:v>Choice of realized estimator, sampling/tuning choices, asset class.</x:v>
      </x:c>
      <x:c r="M26" s="107" t="str">
        <x:v>Finds little evidence that alternatives consistently beat 5-minute RV when it is the benchmark; overall it is difficult to significantly beat simple 5-minute RV.</x:v>
      </x:c>
      <x:c r="N26" s="107" t="str">
        <x:v>No single realized measure is universally optimal; conclusions depend on benchmark-free inference and application.</x:v>
      </x:c>
      <x:c r="O26" s="107" t="str">
        <x:v>Asset-specific robust realized estimators and improved noise/jump handling.</x:v>
      </x:c>
      <x:c r="P26" s="116" t="str">
        <x:v>Core</x:v>
      </x:c>
      <x:c r="Q26" s="112" t="str">
        <x:v>High-frequency measurement</x:v>
      </x:c>
      <x:c r="R26" s="112" t="str">
        <x:v>Strong direct support for keeping 5-minute RV as the project's primary realized measure while using robust alternatives as sensitivity checks.</x:v>
      </x:c>
      <x:c r="S26" s="112" t="str">
        <x:v>https://doi.org/10.1016/j.jeconom.2015.02.008</x:v>
      </x:c>
      <x:c r="T26" s="112" t="str">
        <x:v>ScienceDirect publisher abstract.</x:v>
      </x:c>
      <x:c r="U26" s="116" t="str">
        <x:v>To verify</x:v>
      </x:c>
    </x:row>
    <x:row r="27" ht="78" customHeight="1">
      <x:c r="A27" s="116" t="n">
        <x:v>25</x:v>
      </x:c>
      <x:c r="B27" s="107" t="str">
        <x:v>Power and Bipower Variation with Stochastic Volatility and Jumps</x:v>
      </x:c>
      <x:c r="C27" s="116" t="n">
        <x:v>2004</x:v>
      </x:c>
      <x:c r="D27" s="107" t="str">
        <x:v>Ole E. Barndorff-Nielsen; Neil Shephard</x:v>
      </x:c>
      <x:c r="E27" s="107" t="str">
        <x:v>Journal of Financial Econometrics 2(1), 1–48</x:v>
      </x:c>
      <x:c r="F27" s="107" t="str">
        <x:v>Leading financial econometrics field journal; verify current ABDC/ABS list</x:v>
      </x:c>
      <x:c r="G27" s="107" t="str">
        <x:v>Bipower variation; decomposition of continuous and jump variation.</x:v>
      </x:c>
      <x:c r="H27" s="107" t="str">
        <x:v>Can realized variation be decomposed so that integrated continuous variance is estimated robustly in the presence of infrequent jumps?</x:v>
      </x:c>
      <x:c r="I27" s="107" t="str">
        <x:v>Develops power/bipower variation asymptotics and jump-robust integrated-variance estimation.</x:v>
      </x:c>
      <x:c r="J27" s="107" t="str">
        <x:v>Theoretical with empirical illustrations.</x:v>
      </x:c>
      <x:c r="K27" s="107" t="str">
        <x:v>Integrated variance, quadratic variation and jump variation.</x:v>
      </x:c>
      <x:c r="L27" s="107" t="str">
        <x:v>High-frequency return powers/products.</x:v>
      </x:c>
      <x:c r="M27" s="107" t="str">
        <x:v>Realized bipower variation can estimate integrated variance while the gap between RV and BPV identifies jump quadratic variation under suitable conditions.</x:v>
      </x:c>
      <x:c r="N27" s="107" t="str">
        <x:v>Finite-sample sensitivity and microstructure noise remain; assumptions concern jump frequency and semimartingale structure.</x:v>
      </x:c>
      <x:c r="O27" s="107" t="str">
        <x:v>More efficient jump-robust measures and forecasting applications.</x:v>
      </x:c>
      <x:c r="P27" s="116" t="str">
        <x:v>Supporting</x:v>
      </x:c>
      <x:c r="Q27" s="112" t="str">
        <x:v>Realized-measure features</x:v>
      </x:c>
      <x:c r="R27" s="112" t="str">
        <x:v>Theoretical basis for BPV, continuous variation and jump-share features in the analysis/QR feature set.</x:v>
      </x:c>
      <x:c r="S27" s="112" t="str">
        <x:v>https://doi.org/10.1093/jjfinec/nbh001</x:v>
      </x:c>
      <x:c r="T27" s="112" t="str">
        <x:v>Oxford/Harvard publication abstract.</x:v>
      </x:c>
      <x:c r="U27" s="116" t="str">
        <x:v>To verify</x:v>
      </x:c>
    </x:row>
    <x:row r="28" ht="78" customHeight="1">
      <x:c r="A28" s="116" t="n">
        <x:v>26</x:v>
      </x:c>
      <x:c r="B28" s="107" t="str">
        <x:v>Measuring Downside Risk: Realised Semivariance</x:v>
      </x:c>
      <x:c r="C28" s="116" t="n">
        <x:v>2010</x:v>
      </x:c>
      <x:c r="D28" s="107" t="str">
        <x:v>Ole E. Barndorff-Nielsen; Silja Kinnebrock; Neil Shephard</x:v>
      </x:c>
      <x:c r="E28" s="107" t="str">
        <x:v>In: Volatility and Time Series Econometrics: Essays in Honor of Robert F. Engle, Oxford University Press, pp. 117–136</x:v>
      </x:c>
      <x:c r="F28" s="107" t="str">
        <x:v>Book chapter; journal rankings not applicable</x:v>
      </x:c>
      <x:c r="G28" s="107" t="str">
        <x:v>Realized semivariance; decomposition of quadratic variation by sign.</x:v>
      </x:c>
      <x:c r="H28" s="107" t="str">
        <x:v>Can high-frequency variation be decomposed into downside and upside components that contain distinct risk/forecasting information?</x:v>
      </x:c>
      <x:c r="I28" s="107" t="str">
        <x:v>Defines realized positive/negative semivariances and develops probability theory plus predictive evidence.</x:v>
      </x:c>
      <x:c r="J28" s="107" t="str">
        <x:v>Theory plus financial-market empirical analysis; exact sample should be checked in chapter/working paper.</x:v>
      </x:c>
      <x:c r="K28" s="107" t="str">
        <x:v>Future volatility / downside realized variation.</x:v>
      </x:c>
      <x:c r="L28" s="107" t="str">
        <x:v>Positive and negative intraday squared returns.</x:v>
      </x:c>
      <x:c r="M28" s="107" t="str">
        <x:v>Downside realized semivariance is economically meaningful and has important predictive qualities for future volatility.</x:v>
      </x:c>
      <x:c r="N28" s="107" t="str">
        <x:v>Semivariance depends on high-quality intraday data and does not itself constitute a complete tail-risk model.</x:v>
      </x:c>
      <x:c r="O28" s="107" t="str">
        <x:v>Use signed realized measures as predictors in volatility and conditional-quantile models.</x:v>
      </x:c>
      <x:c r="P28" s="116" t="str">
        <x:v>Supporting</x:v>
      </x:c>
      <x:c r="Q28" s="112" t="str">
        <x:v>Realized-measure features</x:v>
      </x:c>
      <x:c r="R28" s="112" t="str">
        <x:v>Direct foundation for RS_pos, RS_neg and RSV_Ratio features used to capture asymmetric intraday variation.</x:v>
      </x:c>
      <x:c r="S28" s="112" t="str">
        <x:v>https://www.nuffield.ox.ac.uk/economics/papers/2008/w2/downside.pdf</x:v>
      </x:c>
      <x:c r="T28" s="112" t="str">
        <x:v>Harvard/Oxford publication record and working-paper abstract.</x:v>
      </x:c>
      <x:c r="U28" s="116" t="str">
        <x:v>To verify</x:v>
      </x:c>
    </x:row>
    <x:row r="29" ht="78" customHeight="1">
      <x:c r="A29" s="116" t="n">
        <x:v>27</x:v>
      </x:c>
      <x:c r="B29" s="107" t="str">
        <x:v>Jump-Robust Volatility Estimation Using Nearest Neighbor Truncation</x:v>
      </x:c>
      <x:c r="C29" s="116" t="n">
        <x:v>2012</x:v>
      </x:c>
      <x:c r="D29" s="107" t="str">
        <x:v>Torben G. Andersen; Dobrislav Dobrev; Ernst Schaumburg</x:v>
      </x:c>
      <x:c r="E29" s="107" t="str">
        <x:v>Journal of Econometrics 169(1), 75–93</x:v>
      </x:c>
      <x:c r="F29" s="107" t="str">
        <x:v>Leading econometrics journal; verify current ABDC/ABS list</x:v>
      </x:c>
      <x:c r="G29" s="107" t="str">
        <x:v>MinRV/MedRV; jump-robust integrated-variance estimation.</x:v>
      </x:c>
      <x:c r="H29" s="107" t="str">
        <x:v>Can local nearest-neighbour truncation estimators improve efficiency and robustness to jumps and zero returns?</x:v>
      </x:c>
      <x:c r="I29" s="107" t="str">
        <x:v>Develops MinRV and MedRV asymptotics; simulation and empirical Dow Jones 30 application.</x:v>
      </x:c>
      <x:c r="J29" s="107" t="str">
        <x:v>Simulations plus high-frequency data for Dow Jones 30 stocks.</x:v>
      </x:c>
      <x:c r="K29" s="107" t="str">
        <x:v>Integrated variance estimation accuracy.</x:v>
      </x:c>
      <x:c r="L29" s="107" t="str">
        <x:v>Local blocks of high-frequency returns.</x:v>
      </x:c>
      <x:c r="M29" s="107" t="str">
        <x:v>MedRV has favorable efficiency and finite-sample robustness to jumps/zero returns and alleviates bias from intraday volatility patterns.</x:v>
      </x:c>
      <x:c r="N29" s="107" t="str">
        <x:v>Still sensitive to data quality and implementation choices; designed as a volatility measure rather than a direct VaR model.</x:v>
      </x:c>
      <x:c r="O29" s="107" t="str">
        <x:v>Use robust realized measures in forecasting and joint risk models.</x:v>
      </x:c>
      <x:c r="P29" s="116" t="str">
        <x:v>Supporting</x:v>
      </x:c>
      <x:c r="Q29" s="112" t="str">
        <x:v>Realized-measure features</x:v>
      </x:c>
      <x:c r="R29" s="112" t="str">
        <x:v>Supports MedRV robustness and the recent literature showing MedRV can improve joint VaR–ES models.</x:v>
      </x:c>
      <x:c r="S29" s="112" t="str">
        <x:v>https://doi.org/10.1016/j.jeconom.2012.01.011</x:v>
      </x:c>
      <x:c r="T29" s="112" t="str">
        <x:v>ScienceDirect publisher abstract.</x:v>
      </x:c>
      <x:c r="U29" s="116" t="str">
        <x:v>To verify</x:v>
      </x:c>
    </x:row>
    <x:row r="30" ht="78" customHeight="1">
      <x:c r="A30" s="116" t="n">
        <x:v>28</x:v>
      </x:c>
      <x:c r="B30" s="107" t="str">
        <x:v>A Simple Approximate Long-Memory Model of Realized Volatility</x:v>
      </x:c>
      <x:c r="C30" s="116" t="n">
        <x:v>2009</x:v>
      </x:c>
      <x:c r="D30" s="107" t="str">
        <x:v>Fulvio Corsi</x:v>
      </x:c>
      <x:c r="E30" s="107" t="str">
        <x:v>Journal of Financial Econometrics 7(2), 174–196</x:v>
      </x:c>
      <x:c r="F30" s="107" t="str">
        <x:v>Leading financial econometrics field journal; verify current ABDC/ABS list</x:v>
      </x:c>
      <x:c r="G30" s="107" t="str">
        <x:v>HAR-RV; heterogeneous volatility horizons; apparent long memory.</x:v>
      </x:c>
      <x:c r="H30" s="107" t="str">
        <x:v>Can a simple additive cascade of daily, weekly and monthly realized-volatility components reproduce long-memory-like dynamics?</x:v>
      </x:c>
      <x:c r="I30" s="107" t="str">
        <x:v>Introduces HAR-RV; simulation and empirical forecasting analysis.</x:v>
      </x:c>
      <x:c r="J30" s="107" t="str">
        <x:v>Financial realized-volatility data; exact markets/sample should be checked in the paper.</x:v>
      </x:c>
      <x:c r="K30" s="107" t="str">
        <x:v>Future realized volatility.</x:v>
      </x:c>
      <x:c r="L30" s="107" t="str">
        <x:v>Daily, weekly and monthly realized-volatility components.</x:v>
      </x:c>
      <x:c r="M30" s="107" t="str">
        <x:v>A parsimonious HAR-RV model reproduces key volatility features and delivers strong forecasting performance despite having no true fractional long memory.</x:v>
      </x:c>
      <x:c r="N30" s="107" t="str">
        <x:v>Approximate long-memory representation; does not resolve structural breaks or tail quantiles directly.</x:v>
      </x:c>
      <x:c r="O30" s="107" t="str">
        <x:v>Asymmetric/jump-augmented HAR models and integration into risk forecasting.</x:v>
      </x:c>
      <x:c r="P30" s="116" t="str">
        <x:v>Core</x:v>
      </x:c>
      <x:c r="Q30" s="112" t="str">
        <x:v>Realized-volatility dynamics</x:v>
      </x:c>
      <x:c r="R30" s="112" t="str">
        <x:v>Theoretical basis for LogRV, LogRV_w and LogRV_m predictor blocks and for discussing multiple volatility horizons.</x:v>
      </x:c>
      <x:c r="S30" s="112" t="str">
        <x:v>https://doi.org/10.1093/jjfinec/nbp001</x:v>
      </x:c>
      <x:c r="T30" s="112" t="str">
        <x:v>Oxford Academic publisher abstract.</x:v>
      </x:c>
      <x:c r="U30" s="116" t="str">
        <x:v>To verify</x:v>
      </x:c>
    </x:row>
    <x:row r="31" ht="78" customHeight="1">
      <x:c r="A31" s="116" t="n">
        <x:v>29</x:v>
      </x:c>
      <x:c r="B31" s="107" t="str">
        <x:v>Realized GARCH: A Joint Model for Returns and Realized Measures of Volatility</x:v>
      </x:c>
      <x:c r="C31" s="116" t="n">
        <x:v>2012</x:v>
      </x:c>
      <x:c r="D31" s="107" t="str">
        <x:v>Peter R. Hansen; Zhuo Huang; Howard H. Shek</x:v>
      </x:c>
      <x:c r="E31" s="107" t="str">
        <x:v>Journal of Applied Econometrics 27(6), 877–906</x:v>
      </x:c>
      <x:c r="F31" s="107" t="str">
        <x:v>Leading applied econometrics journal; verify current ABDC/ABS list</x:v>
      </x:c>
      <x:c r="G31" s="107" t="str">
        <x:v>Realized GARCH; latent conditional variance + realized-measure measurement equation.</x:v>
      </x:c>
      <x:c r="H31" s="107" t="str">
        <x:v>Can daily returns and high-frequency realized measures be modelled jointly in a parsimonious GARCH framework?</x:v>
      </x:c>
      <x:c r="I31" s="107" t="str">
        <x:v>Introduces linear/log-linear Realized GARCH; joint likelihood/measurement equation; empirical application to DJIA stocks and an index ETF.</x:v>
      </x:c>
      <x:c r="J31" s="107" t="str">
        <x:v>Dow Jones Industrial Average stocks and an exchange-traded index fund; exact dates to verify in full paper.</x:v>
      </x:c>
      <x:c r="K31" s="107" t="str">
        <x:v>Returns, latent conditional variance and observed realized measure.</x:v>
      </x:c>
      <x:c r="L31" s="107" t="str">
        <x:v>Lagged latent variance, lagged realized measure and leverage terms in the measurement equation.</x:v>
      </x:c>
      <x:c r="M31" s="107" t="str">
        <x:v>The measurement equation links realized volatility to latent return variance and permits parsimonious joint modelling; empirical fit improves substantially relative to standard daily-return GARCH.</x:v>
      </x:c>
      <x:c r="N31" s="107" t="str">
        <x:v>Forecast performance depends on realized-measure quality and conditional return-density specification; parameter estimation can be computationally demanding.</x:v>
      </x:c>
      <x:c r="O31" s="107" t="str">
        <x:v>Alternative realized measures, distributions, multivariate models and tail-risk applications.</x:v>
      </x:c>
      <x:c r="P31" s="116" t="str">
        <x:v>Core</x:v>
      </x:c>
      <x:c r="Q31" s="112" t="str">
        <x:v>Realized GARCH</x:v>
      </x:c>
      <x:c r="R31" s="112" t="str">
        <x:v>Governing paper for the project's log-linear Realized GARCH system and measurement leverage terms.</x:v>
      </x:c>
      <x:c r="S31" s="112" t="str">
        <x:v>https://doi.org/10.1002/jae.1234</x:v>
      </x:c>
      <x:c r="T31" s="112" t="str">
        <x:v>Wiley publisher summary/full record.</x:v>
      </x:c>
      <x:c r="U31" s="116" t="str">
        <x:v>To verify</x:v>
      </x:c>
    </x:row>
    <x:row r="32" ht="78" customHeight="1">
      <x:c r="A32" s="116" t="n">
        <x:v>30</x:v>
      </x:c>
      <x:c r="B32" s="107" t="str">
        <x:v>Realising the Future: Forecasting with High-Frequency-Based Volatility (HEAVY) Models</x:v>
      </x:c>
      <x:c r="C32" s="116" t="n">
        <x:v>2010</x:v>
      </x:c>
      <x:c r="D32" s="107" t="str">
        <x:v>Neil Shephard; Kevin Sheppard</x:v>
      </x:c>
      <x:c r="E32" s="107" t="str">
        <x:v>Journal of Applied Econometrics 25(2), 197–231</x:v>
      </x:c>
      <x:c r="F32" s="107" t="str">
        <x:v>Leading applied econometrics journal; verify current ABDC/ABS list</x:v>
      </x:c>
      <x:c r="G32" s="107" t="str">
        <x:v>HEAVY models; realized-measure driven volatility; missing high-frequency data.</x:v>
      </x:c>
      <x:c r="H32" s="107" t="str">
        <x:v>Can direct high-frequency-based volatility models improve multi-step volatility forecasts and adapt rapidly to changing volatility levels?</x:v>
      </x:c>
      <x:c r="I32" s="107" t="str">
        <x:v>Develops HEAVY models, estimates them across assets, compares with GARCH through the credit crunch, and studies missing-data treatment.</x:v>
      </x:c>
      <x:c r="J32" s="107" t="str">
        <x:v>Large cross-section of financial assets including the credit-crunch period; exact series count should be checked in paper.</x:v>
      </x:c>
      <x:c r="K32" s="107" t="str">
        <x:v>Daily return volatility and predictive distribution.</x:v>
      </x:c>
      <x:c r="L32" s="107" t="str">
        <x:v>Lagged realized measures and return-volatility states.</x:v>
      </x:c>
      <x:c r="M32" s="107" t="str">
        <x:v>HEAVY models exploit realized information, adjust quickly to volatility-level changes and can deliver OOS gains; paper explicitly considers missing realized data.</x:v>
      </x:c>
      <x:c r="N32" s="107" t="str">
        <x:v>Different architecture from Realized GARCH; results depend on reliable realized-measure inputs.</x:v>
      </x:c>
      <x:c r="O32" s="107" t="str">
        <x:v>Extensions to richer distributions, multivariate systems and improved missing-data treatment.</x:v>
      </x:c>
      <x:c r="P32" s="116" t="str">
        <x:v>Supporting</x:v>
      </x:c>
      <x:c r="Q32" s="112" t="str">
        <x:v>Realized-volatility models</x:v>
      </x:c>
      <x:c r="R32" s="112" t="str">
        <x:v>Useful context for the project's NKY missing-RV problem and the broader benefit/cost of relying on a high-frequency measurement stream.</x:v>
      </x:c>
      <x:c r="S32" s="112" t="str">
        <x:v>https://doi.org/10.1002/jae.1158</x:v>
      </x:c>
      <x:c r="T32" s="112" t="str">
        <x:v>Wiley full publisher page/abstract.</x:v>
      </x:c>
      <x:c r="U32" s="116" t="str">
        <x:v>To verify</x:v>
      </x:c>
    </x:row>
    <x:row r="33" ht="78" customHeight="1">
      <x:c r="A33" s="116" t="n">
        <x:v>31</x:v>
      </x:c>
      <x:c r="B33" s="107" t="str">
        <x:v>Quantile Forecasts of Financial Returns Using Realized GARCH Models</x:v>
      </x:c>
      <x:c r="C33" s="116" t="n">
        <x:v>2012</x:v>
      </x:c>
      <x:c r="D33" s="107" t="str">
        <x:v>Toshiaki Watanabe</x:v>
      </x:c>
      <x:c r="E33" s="107" t="str">
        <x:v>The Japanese Economic Review 63(1), 68–80</x:v>
      </x:c>
      <x:c r="F33" s="107" t="str">
        <x:v>Peer-reviewed economics journal; verify current ABDC/ABS list</x:v>
      </x:c>
      <x:c r="G33" s="107" t="str">
        <x:v>Realized GARCH VaR/ES; return-density misspecification; skewed Student-t.</x:v>
      </x:c>
      <x:c r="H33" s="107" t="str">
        <x:v>How does Realized GARCH perform for one-day VaR and ES under normal, Student-t and skewed Student-t innovations?</x:v>
      </x:c>
      <x:c r="I33" s="107" t="str">
        <x:v>Fits Realized GARCH with three innovation distributions; compares plain RV and realized kernel; benchmark EGARCH.</x:v>
      </x:c>
      <x:c r="J33" s="107" t="str">
        <x:v>Daily returns and high-frequency RV/realized-kernel measures for the S&amp;P 500.</x:v>
      </x:c>
      <x:c r="K33" s="107" t="str">
        <x:v>One-day-ahead VaR and ES forecast performance.</x:v>
      </x:c>
      <x:c r="L33" s="107" t="str">
        <x:v>Realized GARCH volatility state, realized measure and alternative return distributions.</x:v>
      </x:c>
      <x:c r="M33" s="107" t="str">
        <x:v>Realized GARCH with skewed Student-t performs better than normal/Student-t Realized GARCH and daily-return EGARCH; realized kernel does not improve performance over plain RV in this application.</x:v>
      </x:c>
      <x:c r="N33" s="107" t="str">
        <x:v>Single primary market and model specification; results may not generalize to all realized measures/markets.</x:v>
      </x:c>
      <x:c r="O33" s="107" t="str">
        <x:v>Alternative heavy/skewed distributions and broader joint realized-GARCH risk applications.</x:v>
      </x:c>
      <x:c r="P33" s="116" t="str">
        <x:v>Core</x:v>
      </x:c>
      <x:c r="Q33" s="112" t="str">
        <x:v>Realized GARCH tail risk</x:v>
      </x:c>
      <x:c r="R33" s="112" t="str">
        <x:v>Crucial robustness precedent: directly motivates testing RealGARCH-skew-t because the current project uses symmetric Student-t and retains negative residual skew.</x:v>
      </x:c>
      <x:c r="S33" s="112" t="str">
        <x:v>https://doi.org/10.1111/j.1468-5876.2011.00548.x</x:v>
      </x:c>
      <x:c r="T33" s="112" t="str">
        <x:v>Wiley full publisher page, abstract and conclusion.</x:v>
      </x:c>
      <x:c r="U33" s="116" t="str">
        <x:v>To verify</x:v>
      </x:c>
    </x:row>
    <x:row r="34" ht="78" customHeight="1">
      <x:c r="A34" s="116" t="n">
        <x:v>32</x:v>
      </x:c>
      <x:c r="B34" s="107" t="str">
        <x:v>Modelling Daily Value-at-Risk Using Realized Volatility and ARCH Type Models</x:v>
      </x:c>
      <x:c r="C34" s="116" t="n">
        <x:v>2004</x:v>
      </x:c>
      <x:c r="D34" s="107" t="str">
        <x:v>Pierre Giot; Sébastien Laurent</x:v>
      </x:c>
      <x:c r="E34" s="107" t="str">
        <x:v>Journal of Empirical Finance 11(3), 379–398</x:v>
      </x:c>
      <x:c r="F34" s="107" t="str">
        <x:v>Established financial econometrics journal; verify current ABDC/ABS list</x:v>
      </x:c>
      <x:c r="G34" s="107" t="str">
        <x:v>Realized-volatility VaR vs asymmetric heavy-tailed daily ARCH VaR.</x:v>
      </x:c>
      <x:c r="H34" s="107" t="str">
        <x:v>Does intraday realized-volatility information materially improve one-day VaR relative to a strong daily-data ARCH benchmark?</x:v>
      </x:c>
      <x:c r="I34" s="107" t="str">
        <x:v>Compares realized-volatility VaR using a long-memory skewed-Student model with skewed-Student APARCH VaR.</x:v>
      </x:c>
      <x:c r="J34" s="107" t="str">
        <x:v>CAC 40, S&amp;P 500, YEN/USD and DEM/USD.</x:v>
      </x:c>
      <x:c r="K34" s="107" t="str">
        <x:v>One-day-ahead VaR forecasts.</x:v>
      </x:c>
      <x:c r="L34" s="107" t="str">
        <x:v>Realized-volatility forecasts or APARCH conditional volatility plus skewed-Student quantile.</x:v>
      </x:c>
      <x:c r="M34" s="107" t="str">
        <x:v>Realized-volatility-based VaR is adequate but does not clearly improve on strong daily skewed-Student APARCH; standardized returns using RV forecasts are not Gaussian.</x:v>
      </x:c>
      <x:c r="N34" s="107" t="str">
        <x:v>Older realized-volatility methods; relatively small asset set; no modern Realized GARCH or joint VaR–ES scoring.</x:v>
      </x:c>
      <x:c r="O34" s="107" t="str">
        <x:v>Combine high-frequency volatility with richer/asymmetric tail-distribution models.</x:v>
      </x:c>
      <x:c r="P34" s="116" t="str">
        <x:v>Core</x:v>
      </x:c>
      <x:c r="Q34" s="112" t="str">
        <x:v>Comparative realized tail risk</x:v>
      </x:c>
      <x:c r="R34" s="112" t="str">
        <x:v>Very close conceptual precedent for our likely finding that better volatility information does not automatically imply better 1% VaR.</x:v>
      </x:c>
      <x:c r="S34" s="112" t="str">
        <x:v>https://doi.org/10.1016/j.jempfin.2003.04.003</x:v>
      </x:c>
      <x:c r="T34" s="112" t="str">
        <x:v>ScienceDirect publisher abstract.</x:v>
      </x:c>
      <x:c r="U34" s="116" t="str">
        <x:v>To verify</x:v>
      </x:c>
      <x:c r="V34" s="21"/>
      <x:c r="W34" s="21"/>
      <x:c r="X34" s="21"/>
      <x:c r="Y34" s="21"/>
      <x:c r="Z34" s="21"/>
      <x:c r="AA34" s="21"/>
    </x:row>
    <x:row r="35" ht="78" customHeight="1">
      <x:c r="A35" s="116" t="n">
        <x:v>33</x:v>
      </x:c>
      <x:c r="B35" s="107" t="str">
        <x:v>Realized Volatility Models and Alternative Value-at-Risk Prediction Strategies</x:v>
      </x:c>
      <x:c r="C35" s="116" t="n">
        <x:v>2014</x:v>
      </x:c>
      <x:c r="D35" s="107" t="str">
        <x:v>Dimitrios P. Louzis; Spyros Xanthopoulos-Sisinis; Apostolos P. Refenes</x:v>
      </x:c>
      <x:c r="E35" s="107" t="str">
        <x:v>Economic Modelling 40, 101–116</x:v>
      </x:c>
      <x:c r="F35" s="107" t="str">
        <x:v>Established applied economics journal; verify current ABDC/ABS list</x:v>
      </x:c>
      <x:c r="G35" s="107" t="str">
        <x:v>Realized-volatility models + alternative parametric/semiparametric VaR quantiles.</x:v>
      </x:c>
      <x:c r="H35" s="107" t="str">
        <x:v>How do realized-volatility models perform when combined with different VaR quantile estimators relative to GJR-GARCH?</x:v>
      </x:c>
      <x:c r="I35" s="107" t="str">
        <x:v>OOS comparison of realized-volatility and GJR models with normal, skew-t, filtered historical simulation and EVT quantile methods.</x:v>
      </x:c>
      <x:c r="J35" s="107" t="str">
        <x:v>Four asset classes (equity, FX, fixed income, commodity); turbulent 2007–2013 OOS period.</x:v>
      </x:c>
      <x:c r="K35" s="107" t="str">
        <x:v>VaR statistical accuracy, regulatory compliance and capital-efficiency measures.</x:v>
      </x:c>
      <x:c r="L35" s="107" t="str">
        <x:v>Volatility model class and quantile-estimation method.</x:v>
      </x:c>
      <x:c r="M35" s="107" t="str">
        <x:v>Tail-quantile method is critical: skew-t and EVT improve statistical/regulatory accuracy; realized-volatility models improve capital efficiency. Asymmetric HAR-EVT is the strongest overall model in their application.</x:v>
      </x:c>
      <x:c r="N35" s="107" t="str">
        <x:v>Uses a specific regulatory/capital-efficiency framework and pre-2014 models; not a direct Realized GARCH–QR comparison.</x:v>
      </x:c>
      <x:c r="O35" s="107" t="str">
        <x:v>Jointly optimize volatility information and flexible tail-quantile estimation across markets/regimes.</x:v>
      </x:c>
      <x:c r="P35" s="116" t="str">
        <x:v>Core</x:v>
      </x:c>
      <x:c r="Q35" s="112" t="str">
        <x:v>Comparative tail forecasting</x:v>
      </x:c>
      <x:c r="R35" s="112" t="str">
        <x:v>Strong supporting evidence for the project's central distinction between variance-model quality and quantile/tail specification.</x:v>
      </x:c>
      <x:c r="S35" s="112" t="str">
        <x:v>https://doi.org/10.1016/j.econmod.2014.03.025</x:v>
      </x:c>
      <x:c r="T35" s="112" t="str">
        <x:v>ScienceDirect full abstract/highlights.</x:v>
      </x:c>
      <x:c r="U35" s="116" t="str">
        <x:v>To verify</x:v>
      </x:c>
      <x:c r="V35" s="21"/>
      <x:c r="W35" s="21"/>
      <x:c r="X35" s="21"/>
      <x:c r="Y35" s="21"/>
      <x:c r="Z35" s="21"/>
      <x:c r="AA35" s="21"/>
    </x:row>
    <x:row r="36" ht="78" customHeight="1">
      <x:c r="A36" s="116" t="n">
        <x:v>34</x:v>
      </x:c>
      <x:c r="B36" s="112" t="str">
        <x:v>Regression Quantiles</x:v>
      </x:c>
      <x:c r="C36" s="116" t="n">
        <x:v>1978</x:v>
      </x:c>
      <x:c r="D36" s="112" t="str">
        <x:v>Roger Koenker; Gilbert Bassett Jr.</x:v>
      </x:c>
      <x:c r="E36" s="112" t="str">
        <x:v>Econometrica 46(1), 33–50</x:v>
      </x:c>
      <x:c r="F36" s="112" t="str">
        <x:v>Top-tier general economics/econometrics journal; verify current ABDC/ABS list</x:v>
      </x:c>
      <x:c r="G36" s="112" t="str">
        <x:v>Quantile regression; asymmetric check loss.</x:v>
      </x:c>
      <x:c r="H36" s="112" t="str">
        <x:v>How can conditional quantiles, rather than conditional means, be estimated in a regression framework?</x:v>
      </x:c>
      <x:c r="I36" s="112" t="str">
        <x:v>Introduces regression quantiles as minimizers of an asymmetric absolute-loss (check-loss) objective and develops statistical properties.</x:v>
      </x:c>
      <x:c r="J36" s="112" t="str">
        <x:v>Theoretical/methodological paper; no single financial sample.</x:v>
      </x:c>
      <x:c r="K36" s="112" t="str">
        <x:v>Conditional quantile of the response.</x:v>
      </x:c>
      <x:c r="L36" s="112" t="str">
        <x:v>Regression covariates.</x:v>
      </x:c>
      <x:c r="M36" s="112" t="str">
        <x:v>Establishes quantile regression as a general way to model different parts of a conditional distribution without specifying the full density.</x:v>
      </x:c>
      <x:c r="N36" s="112" t="str">
        <x:v>Static foundational formulation; financial dynamics, extreme-quantile scarcity and time-series dependence require later extensions.</x:v>
      </x:c>
      <x:c r="O36" s="112" t="str">
        <x:v>Dynamic quantile models, nonlinear/panel quantiles and financial VaR applications.</x:v>
      </x:c>
      <x:c r="P36" s="116" t="str">
        <x:v>Core</x:v>
      </x:c>
      <x:c r="Q36" s="112" t="str">
        <x:v>Quantile regression</x:v>
      </x:c>
      <x:c r="R36" s="112" t="str">
        <x:v>Foundational source for the project's direct conditional-quantile modelling philosophy.</x:v>
      </x:c>
      <x:c r="S36" s="112" t="str">
        <x:v>https://doi.org/10.2307/1913643</x:v>
      </x:c>
      <x:c r="T36" s="112" t="str">
        <x:v>JSTOR bibliographic record + canonical method contribution.</x:v>
      </x:c>
      <x:c r="U36" s="116" t="str">
        <x:v>To verify</x:v>
      </x:c>
    </x:row>
    <x:row r="37" ht="78" customHeight="1">
      <x:c r="A37" s="116" t="n">
        <x:v>35</x:v>
      </x:c>
      <x:c r="B37" s="112" t="str">
        <x:v>CAViaR: Conditional Autoregressive Value at Risk by Regression Quantiles</x:v>
      </x:c>
      <x:c r="C37" s="116" t="n">
        <x:v>2004</x:v>
      </x:c>
      <x:c r="D37" s="112" t="str">
        <x:v>Robert F. Engle; Simone Manganelli</x:v>
      </x:c>
      <x:c r="E37" s="112" t="str">
        <x:v>Journal of Business &amp; Economic Statistics 22(4), 367–381</x:v>
      </x:c>
      <x:c r="F37" s="112" t="str">
        <x:v>Leading statistics/econometrics journal; verify current ABDC/ABS list</x:v>
      </x:c>
      <x:c r="G37" s="112" t="str">
        <x:v>Dynamic conditional quantiles; CAViaR; Dynamic Quantile test.</x:v>
      </x:c>
      <x:c r="H37" s="112" t="str">
        <x:v>Can VaR be modelled directly as a dynamic conditional quantile without specifying the full return distribution?</x:v>
      </x:c>
      <x:c r="I37" s="112" t="str">
        <x:v>Introduces several CAViaR dynamics estimated by quantile regression and proposes the DQ specification/backtest.</x:v>
      </x:c>
      <x:c r="J37" s="112" t="str">
        <x:v>Financial return applications; exact assets/sample should be verified in full paper.</x:v>
      </x:c>
      <x:c r="K37" s="112" t="str">
        <x:v>Conditional VaR/quantile.</x:v>
      </x:c>
      <x:c r="L37" s="112" t="str">
        <x:v>Lagged VaR, return information and model-specific state variables.</x:v>
      </x:c>
      <x:c r="M37" s="112" t="str">
        <x:v>Shows that conditional quantile dynamics can be estimated directly and provides a dynamic test of whether VaR violations remain predictable.</x:v>
      </x:c>
      <x:c r="N37" s="112" t="str">
        <x:v>Focuses on VaR, not ES; chosen CAViaR functional form still imposes dynamic structure.</x:v>
      </x:c>
      <x:c r="O37" s="112" t="str">
        <x:v>Joint VaR–ES modelling and richer realized/exogenous predictors.</x:v>
      </x:c>
      <x:c r="P37" s="116" t="str">
        <x:v>Core</x:v>
      </x:c>
      <x:c r="Q37" s="112" t="str">
        <x:v>Dynamic tail quantiles</x:v>
      </x:c>
      <x:c r="R37" s="112" t="str">
        <x:v>Core financial-QR source and theoretical basis for including the DQ test in project evaluation.</x:v>
      </x:c>
      <x:c r="S37" s="112" t="str">
        <x:v>https://doi.org/10.1198/073500104000000370</x:v>
      </x:c>
      <x:c r="T37" s="112" t="str">
        <x:v>Publisher paper/abstract; full paper recommended for exact model forms.</x:v>
      </x:c>
      <x:c r="U37" s="116" t="str">
        <x:v>To verify</x:v>
      </x:c>
    </x:row>
    <x:row r="38" ht="78" customHeight="1">
      <x:c r="A38" s="116" t="n">
        <x:v>36</x:v>
      </x:c>
      <x:c r="B38" s="112" t="str">
        <x:v>Semi-parametric Conditional Quantile Models for Financial Returns and Realized Volatility</x:v>
      </x:c>
      <x:c r="C38" s="116" t="n">
        <x:v>2016</x:v>
      </x:c>
      <x:c r="D38" s="112" t="str">
        <x:v>Filip Žikeš; Jozef Baruník</x:v>
      </x:c>
      <x:c r="E38" s="112" t="str">
        <x:v>Journal of Financial Econometrics 14(1), 185–226</x:v>
      </x:c>
      <x:c r="F38" s="112" t="str">
        <x:v>Leading financial econometrics field journal; verify current ABDC/ABS list</x:v>
      </x:c>
      <x:c r="G38" s="112" t="str">
        <x:v>Conditional quantiles with realized/implied volatility; semivariance and jump information.</x:v>
      </x:c>
      <x:c r="H38" s="112" t="str">
        <x:v>How do conditional quantiles of future returns and realized volatility depend on ex-post realized variation and option-implied volatility?</x:v>
      </x:c>
      <x:c r="I38" s="112" t="str">
        <x:v>Semiparametric conditional-quantile regressions using realized measures and implied volatility; empirical forecast evaluation.</x:v>
      </x:c>
      <x:c r="J38" s="112" t="str">
        <x:v>Financial asset return/realized-volatility data; exact assets and dates should be checked in full paper.</x:v>
      </x:c>
      <x:c r="K38" s="112" t="str">
        <x:v>Future return quantiles and realized-volatility quantiles.</x:v>
      </x:c>
      <x:c r="L38" s="112" t="str">
        <x:v>Realized variance, semivariances, jump variation, option-implied volatility and related lagged predictors.</x:v>
      </x:c>
      <x:c r="M38" s="112" t="str">
        <x:v>Shows that realized and option-implied measures contain useful information for conditional quantiles and that simple linear quantile specifications can forecast financial tails effectively.</x:v>
      </x:c>
      <x:c r="N38" s="112" t="str">
        <x:v>Predictor usefulness can be market/sample dependent; many predictors raise collinearity/data-snooping concerns.</x:v>
      </x:c>
      <x:c r="O38" s="112" t="str">
        <x:v>Broader high-frequency predictors, regularization and joint VaR–ES dynamics.</x:v>
      </x:c>
      <x:c r="P38" s="116" t="str">
        <x:v>Core</x:v>
      </x:c>
      <x:c r="Q38" s="112" t="str">
        <x:v>QR with realized information</x:v>
      </x:c>
      <x:c r="R38" s="112" t="str">
        <x:v>Probably the closest foundation for QR-Full feature blocks: RV, semivariance, jumps and implied volatility.</x:v>
      </x:c>
      <x:c r="S38" s="112" t="str">
        <x:v>https://doi.org/10.1093/jjfinec/nbu029</x:v>
      </x:c>
      <x:c r="T38" s="112" t="str">
        <x:v>Oxford Academic publisher abstract; full paper needed for exact empirical specifications.</x:v>
      </x:c>
      <x:c r="U38" s="116" t="str">
        <x:v>To verify</x:v>
      </x:c>
    </x:row>
    <x:row r="39" ht="78" customHeight="1">
      <x:c r="A39" s="116" t="n">
        <x:v>37</x:v>
      </x:c>
      <x:c r="B39" s="112" t="str">
        <x:v>Realized Extreme Quantile: A Joint Model for Conditional Quantiles and Measures of Volatility with EVT Refinements</x:v>
      </x:c>
      <x:c r="C39" s="116" t="n">
        <x:v>2018</x:v>
      </x:c>
      <x:c r="D39" s="112" t="str">
        <x:v>Marco Bee; Debbie J. Dupuis; Luca Trapin</x:v>
      </x:c>
      <x:c r="E39" s="112" t="str">
        <x:v>Journal of Applied Econometrics 33(3), 398–415</x:v>
      </x:c>
      <x:c r="F39" s="112" t="str">
        <x:v>Leading applied econometrics journal; verify current ABDC/ABS list</x:v>
      </x:c>
      <x:c r="G39" s="112" t="str">
        <x:v>Quantile regression + EVT + realized-volatility measurement equation.</x:v>
      </x:c>
      <x:c r="H39" s="112" t="str">
        <x:v>Can realized measures and EVT be jointly embedded in a conditional extreme-quantile model?</x:v>
      </x:c>
      <x:c r="I39" s="112" t="str">
        <x:v>REQ model links latent conditional quantile to a realized measure via measurement equation; QML estimation, simulation and OOS risk forecasting.</x:v>
      </x:c>
      <x:c r="J39" s="112" t="str">
        <x:v>Extensive empirical financial application; exact assets/sample should be checked in the paper.</x:v>
      </x:c>
      <x:c r="K39" s="112" t="str">
        <x:v>Extreme conditional quantiles / quantile-based risk forecasts.</x:v>
      </x:c>
      <x:c r="L39" s="112" t="str">
        <x:v>Realized volatility measures, latent quantile dynamics and EVT refinement.</x:v>
      </x:c>
      <x:c r="M39" s="112" t="str">
        <x:v>High-frequency measures are particularly informative for dynamic extreme quantiles, and OOS analysis supports the REQ approach.</x:v>
      </x:c>
      <x:c r="N39" s="112" t="str">
        <x:v>Hybrid model is more complex and not directly the same as separate GARCH-EVT, RealGARCH and QR comparisons.</x:v>
      </x:c>
      <x:c r="O39" s="112" t="str">
        <x:v>Further joint realized-tail systems and alternative realized measures.</x:v>
      </x:c>
      <x:c r="P39" s="116" t="str">
        <x:v>Core</x:v>
      </x:c>
      <x:c r="Q39" s="112" t="str">
        <x:v>Hybrid closest literature</x:v>
      </x:c>
      <x:c r="R39" s="112" t="str">
        <x:v>Prevents an incorrect novelty claim: realized measures, QR and EVT have already been combined in one model.</x:v>
      </x:c>
      <x:c r="S39" s="112" t="str">
        <x:v>https://doi.org/10.1002/jae.2615</x:v>
      </x:c>
      <x:c r="T39" s="112" t="str">
        <x:v>RePEc/university repository abstract and publication metadata.</x:v>
      </x:c>
      <x:c r="U39" s="116" t="str">
        <x:v>To verify</x:v>
      </x:c>
    </x:row>
    <x:row r="40" ht="78" customHeight="1">
      <x:c r="A40" s="116" t="n">
        <x:v>38</x:v>
      </x:c>
      <x:c r="B40" s="112" t="str">
        <x:v>Semi-parametric Dynamic Asymmetric Laplace Models for Tail Risk Forecasting, Incorporating Realized Measures</x:v>
      </x:c>
      <x:c r="C40" s="116" t="n">
        <x:v>2020</x:v>
      </x:c>
      <x:c r="D40" s="112" t="str">
        <x:v>Richard Gerlach; Chao Wang</x:v>
      </x:c>
      <x:c r="E40" s="112" t="str">
        <x:v>International Journal of Forecasting 36(2), 489–506</x:v>
      </x:c>
      <x:c r="F40" s="112" t="str">
        <x:v>Leading forecasting journal; verify current ABDC/ABS list</x:v>
      </x:c>
      <x:c r="G40" s="112" t="str">
        <x:v>Joint VaR–ES semiparametric dynamics; realized measures; asymmetric-Laplace scoring.</x:v>
      </x:c>
      <x:c r="H40" s="112" t="str">
        <x:v>Do realized measures improve dynamic joint VaR and ES forecasting relative to GARCH, Realized GARCH, EVT and other semiparametric benchmarks?</x:v>
      </x:c>
      <x:c r="I40" s="112" t="str">
        <x:v>Extends joint VaR–ES model with realized-measure dynamics; ML and Bayesian MCMC; simulation and OOS comparison.</x:v>
      </x:c>
      <x:c r="J40" s="112" t="str">
        <x:v>Seven financial market indices; long OOS period including the 2007–08 GFC.</x:v>
      </x:c>
      <x:c r="K40" s="112" t="str">
        <x:v>One-day-ahead VaR and ES forecast accuracy.</x:v>
      </x:c>
      <x:c r="L40" s="112" t="str">
        <x:v>Realized measures and dynamic VaR/ES state variables; benchmark model classes.</x:v>
      </x:c>
      <x:c r="M40" s="112" t="str">
        <x:v>Results favor realized-measure semiparametric models, especially with subsampled realized variance/range.</x:v>
      </x:c>
      <x:c r="N40" s="112" t="str">
        <x:v>More elaborate joint VaR–ES framework than the project's vanilla QR; data/estimation demands are greater.</x:v>
      </x:c>
      <x:c r="O40" s="112" t="str">
        <x:v>Alternative realized measures, broader markets and refined ES dynamics.</x:v>
      </x:c>
      <x:c r="P40" s="116" t="str">
        <x:v>Core</x:v>
      </x:c>
      <x:c r="Q40" s="112" t="str">
        <x:v>Closest comparative literature</x:v>
      </x:c>
      <x:c r="R40" s="112" t="str">
        <x:v>One of the closest existing papers to the project's broad comparison; critical for keeping novelty claims cautious and empirical.</x:v>
      </x:c>
      <x:c r="S40" s="112" t="str">
        <x:v>https://doi.org/10.1016/j.ijforecast.2019.07.003</x:v>
      </x:c>
      <x:c r="T40" s="112" t="str">
        <x:v>ScienceDirect publisher abstract.</x:v>
      </x:c>
      <x:c r="U40" s="116" t="str">
        <x:v>To verify</x:v>
      </x:c>
    </x:row>
    <x:row r="41" ht="78" customHeight="1">
      <x:c r="A41" s="116" t="n">
        <x:v>39</x:v>
      </x:c>
      <x:c r="B41" s="112" t="str">
        <x:v>Improved VaR Forecasts Using Extreme Value Theory with the Realized GARCH Model</x:v>
      </x:c>
      <x:c r="C41" s="116" t="n">
        <x:v>2017</x:v>
      </x:c>
      <x:c r="D41" s="112" t="str">
        <x:v>Samit Paul; Prateek Sharma</x:v>
      </x:c>
      <x:c r="E41" s="112" t="str">
        <x:v>Studies in Economics and Finance 34(2), 238–259</x:v>
      </x:c>
      <x:c r="F41" s="112" t="str">
        <x:v>Peer-reviewed finance journal; verify current ABDC/ABS list</x:v>
      </x:c>
      <x:c r="G41" s="112" t="str">
        <x:v>Realized GARCH-EVT; conditional EVT with realized-volatility filtering.</x:v>
      </x:c>
      <x:c r="H41" s="112" t="str">
        <x:v>Does embedding Realized GARCH in the McNeil–Frey EVT framework improve one-step VaR forecasts?</x:v>
      </x:c>
      <x:c r="I41" s="112" t="str">
        <x:v>Compares GARCH, EGARCH, Realized GARCH, GARCH-EVT, EGARCH-EVT and Realized-GARCH-EVT.</x:v>
      </x:c>
      <x:c r="J41" s="112" t="str">
        <x:v>13 international stock indices; 1 Jan 2003–8 Oct 2014.</x:v>
      </x:c>
      <x:c r="K41" s="112" t="str">
        <x:v>One-step-ahead VaR forecasts and backtest performance.</x:v>
      </x:c>
      <x:c r="L41" s="112" t="str">
        <x:v>Choice of volatility filter and EVT tail stage.</x:v>
      </x:c>
      <x:c r="M41" s="112" t="str">
        <x:v>Realized-GARCH-EVT is designed to exploit both high-frequency volatility information and EVT tails and is reported as a strong VaR performer relative to standalone/standard filtered alternatives.</x:v>
      </x:c>
      <x:c r="N41" s="112" t="str">
        <x:v>Sample ends in 2014; model comparison does not include the project's realized-predictor QR architecture.</x:v>
      </x:c>
      <x:c r="O41" s="112" t="str">
        <x:v>Alternative realized measures, ES and broader crisis/regime comparisons.</x:v>
      </x:c>
      <x:c r="P41" s="116" t="str">
        <x:v>Core</x:v>
      </x:c>
      <x:c r="Q41" s="112" t="str">
        <x:v>Closest comparative literature</x:v>
      </x:c>
      <x:c r="R41" s="112" t="str">
        <x:v>Direct evidence that combining Realized GARCH and EVT is not novel; motivates treating it as a future extension rather than our contribution.</x:v>
      </x:c>
      <x:c r="S41" s="112" t="str">
        <x:v>https://doi.org/10.1108/SEF-05-2015-0139</x:v>
      </x:c>
      <x:c r="T41" s="112" t="str">
        <x:v>Publisher abstract/methodology page.</x:v>
      </x:c>
      <x:c r="U41" s="116" t="str">
        <x:v>To verify</x:v>
      </x:c>
    </x:row>
    <x:row r="42" ht="78" customHeight="1">
      <x:c r="A42" s="116" t="n">
        <x:v>40</x:v>
      </x:c>
      <x:c r="B42" s="112" t="str">
        <x:v>Quantile Forecasts Using the Realized GARCH-EVT Approach</x:v>
      </x:c>
      <x:c r="C42" s="116" t="n">
        <x:v>2018</x:v>
      </x:c>
      <x:c r="D42" s="112" t="str">
        <x:v>Samit Paul; Prateek Sharma</x:v>
      </x:c>
      <x:c r="E42" s="112" t="str">
        <x:v>Studies in Economics and Finance 35(4), 481–504</x:v>
      </x:c>
      <x:c r="F42" s="112" t="str">
        <x:v>Peer-reviewed finance journal; verify current ABDC/ABS list</x:v>
      </x:c>
      <x:c r="G42" s="112" t="str">
        <x:v>Realized GARCH-EVT; VaR and ES; realized-measure choice.</x:v>
      </x:c>
      <x:c r="H42" s="112" t="str">
        <x:v>Does Realized-GARCH-EVT improve one-step VaR and ES forecasts, and does the realized measure used matter?</x:v>
      </x:c>
      <x:c r="I42" s="112" t="str">
        <x:v>Compares standard GARCH-EVT, EGARCH-EVT and Realized-GARCH-EVT with five realized-volatility measures.</x:v>
      </x:c>
      <x:c r="J42" s="112" t="str">
        <x:v>Five European stock indices; exact sample period should be checked in full paper.</x:v>
      </x:c>
      <x:c r="K42" s="112" t="str">
        <x:v>One-step-ahead VaR and ES forecasts.</x:v>
      </x:c>
      <x:c r="L42" s="112" t="str">
        <x:v>Volatility filter and realized-volatility measure entering Realized GARCH before EVT.</x:v>
      </x:c>
      <x:c r="M42" s="112" t="str">
        <x:v>Provides evidence in favor of Realized-GARCH-EVT and shows that realized-measure choice can affect tail-risk forecasting performance.</x:v>
      </x:c>
      <x:c r="N42" s="112" t="str">
        <x:v>European-market focus and specific realized measures; no direct QR family comparison.</x:v>
      </x:c>
      <x:c r="O42" s="112" t="str">
        <x:v>Wider markets, additional robust realized measures and crisis-specific comparisons.</x:v>
      </x:c>
      <x:c r="P42" s="116" t="str">
        <x:v>Core</x:v>
      </x:c>
      <x:c r="Q42" s="112" t="str">
        <x:v>Closest comparative literature</x:v>
      </x:c>
      <x:c r="R42" s="112" t="str">
        <x:v>Closest RealGARCH+EVT VaR/ES comparator and a reason to discuss realized-measure sensitivity explicitly.</x:v>
      </x:c>
      <x:c r="S42" s="112" t="str">
        <x:v>https://doi.org/10.1108/SEF-09-2016-0236</x:v>
      </x:c>
      <x:c r="T42" s="112" t="str">
        <x:v>Emerald/RePEc publisher abstract.</x:v>
      </x:c>
      <x:c r="U42" s="116" t="str">
        <x:v>To verify</x:v>
      </x:c>
    </x:row>
    <x:row r="43" ht="78" customHeight="1">
      <x:c r="A43" s="116" t="n">
        <x:v>41</x:v>
      </x:c>
      <x:c r="B43" s="112" t="str">
        <x:v>Can Intraday Data Improve the Joint Estimation and Prediction of Risk Measures? Evidence from a Variety of Realized Measures</x:v>
      </x:c>
      <x:c r="C43" s="116" t="n">
        <x:v>2024</x:v>
      </x:c>
      <x:c r="D43" s="112" t="str">
        <x:v>Zhimin Wu; Guanghui Cai</x:v>
      </x:c>
      <x:c r="E43" s="112" t="str">
        <x:v>Journal of Forecasting 43(6), 1956–1974</x:v>
      </x:c>
      <x:c r="F43" s="112" t="str">
        <x:v>Established forecasting journal; verify current ABDC/ABS list</x:v>
      </x:c>
      <x:c r="G43" s="112" t="str">
        <x:v>Joint VaR–ES semiparametric models; RV, MedRV, BPV, realized kernels; FZ0 and MCS.</x:v>
      </x:c>
      <x:c r="H43" s="112" t="str">
        <x:v>Do robust high-frequency realized measures improve joint VaR and ES prediction relative to benchmark models?</x:v>
      </x:c>
      <x:c r="I43" s="112" t="str">
        <x:v>Uses RV, MedRV, BPV and RK in semiparametric VaR–ES models; multiple backtests, FZ0 scoring and MCS.</x:v>
      </x:c>
      <x:c r="J43" s="112" t="str">
        <x:v>S&amp;P 500, Nikkei 225, DAX and DJIA; VaR/ES levels 1%, 2.5%, 5%, 10%.</x:v>
      </x:c>
      <x:c r="K43" s="112" t="str">
        <x:v>Joint VaR and ES forecast performance.</x:v>
      </x:c>
      <x:c r="L43" s="112" t="str">
        <x:v>Choice of realized measure and semiparametric dynamic model.</x:v>
      </x:c>
      <x:c r="M43" s="112" t="str">
        <x:v>Intraday-information models outperform benchmarks across markets/levels; MedRV is reported as the strongest realized measure in improving forecasts.</x:v>
      </x:c>
      <x:c r="N43" s="112" t="str">
        <x:v>Only four indices and a specific semiparametric model family; results need not imply MedRV is always best.</x:v>
      </x:c>
      <x:c r="O43" s="112" t="str">
        <x:v>Broader assets and combinations of realized measures.</x:v>
      </x:c>
      <x:c r="P43" s="116" t="str">
        <x:v>Core</x:v>
      </x:c>
      <x:c r="Q43" s="112" t="str">
        <x:v>Recent realized tail risk</x:v>
      </x:c>
      <x:c r="R43" s="112" t="str">
        <x:v>Direct support for MedRV/BPV robustness and for using FZ0/MCS when comparing joint tail forecasts.</x:v>
      </x:c>
      <x:c r="S43" s="112" t="str">
        <x:v>https://doi.org/10.1002/for.3111</x:v>
      </x:c>
      <x:c r="T43" s="112" t="str">
        <x:v>Wiley full publisher page/abstract.</x:v>
      </x:c>
      <x:c r="U43" s="116" t="str">
        <x:v>To verify</x:v>
      </x:c>
    </x:row>
    <x:row r="44" ht="78" customHeight="1">
      <x:c r="A44" s="116" t="n">
        <x:v>42</x:v>
      </x:c>
      <x:c r="B44" s="112" t="str">
        <x:v>Tail Risk Forecasting with Semiparametric Regression Models by Incorporating Overnight Information</x:v>
      </x:c>
      <x:c r="C44" s="116" t="n">
        <x:v>2024</x:v>
      </x:c>
      <x:c r="D44" s="112" t="str">
        <x:v>Cathy W. S. Chen; Takaaki Koike; Wei-Hsuan Shau</x:v>
      </x:c>
      <x:c r="E44" s="112" t="str">
        <x:v>Journal of Forecasting 43(5), 1492–1512</x:v>
      </x:c>
      <x:c r="F44" s="112" t="str">
        <x:v>Established forecasting journal; verify current ABDC/ABS list</x:v>
      </x:c>
      <x:c r="G44" s="112" t="str">
        <x:v>Joint VaR–ES semiparametric regression; overnight returns; realized measures.</x:v>
      </x:c>
      <x:c r="H44" s="112" t="str">
        <x:v>Do overnight returns add tail-risk information beyond realized volatility in international markets?</x:v>
      </x:c>
      <x:c r="I44" s="112" t="str">
        <x:v>RES-CAViaR-oc models using realized measures + overnight returns; Bayesian estimation and joint VaR–ES backtesting.</x:v>
      </x:c>
      <x:c r="J44" s="112" t="str">
        <x:v>Four international stock indices.</x:v>
      </x:c>
      <x:c r="K44" s="112" t="str">
        <x:v>VaR and ES forecasts.</x:v>
      </x:c>
      <x:c r="L44" s="112" t="str">
        <x:v>Overnight return, realized volatility and dynamic semiparametric risk-state variables.</x:v>
      </x:c>
      <x:c r="M44" s="112" t="str">
        <x:v>Both overnight returns and realized volatility are important for tail-risk forecasting in their international-index application.</x:v>
      </x:c>
      <x:c r="N44" s="112" t="str">
        <x:v>Specific model family/markets; overnight timing conventions differ across exchanges.</x:v>
      </x:c>
      <x:c r="O44" s="112" t="str">
        <x:v>Richer cross-market information sets and market-specific session/overnight dynamics.</x:v>
      </x:c>
      <x:c r="P44" s="116" t="str">
        <x:v>Core</x:v>
      </x:c>
      <x:c r="Q44" s="112" t="str">
        <x:v>Recent realized tail risk</x:v>
      </x:c>
      <x:c r="R44" s="112" t="str">
        <x:v>Direct justification for an overnight-information robustness specification, especially for NKY and other non-US sessions.</x:v>
      </x:c>
      <x:c r="S44" s="112" t="str">
        <x:v>https://doi.org/10.1002/for.3090</x:v>
      </x:c>
      <x:c r="T44" s="112" t="str">
        <x:v>Wiley publisher abstract.</x:v>
      </x:c>
      <x:c r="U44" s="116" t="str">
        <x:v>To verify</x:v>
      </x:c>
    </x:row>
    <x:row r="45" ht="78" customHeight="1">
      <x:c r="A45" s="116" t="n">
        <x:v>43</x:v>
      </x:c>
      <x:c r="B45" s="112" t="str">
        <x:v>Forecasting S&amp;P 100 Volatility: The Incremental Information Content of Implied Volatilities and High-Frequency Index Returns</x:v>
      </x:c>
      <x:c r="C45" s="116" t="n">
        <x:v>2001</x:v>
      </x:c>
      <x:c r="D45" s="112" t="str">
        <x:v>Bevan J. Blair; Ser-Huang Poon; Stephen J. Taylor</x:v>
      </x:c>
      <x:c r="E45" s="112" t="str">
        <x:v>Journal of Econometrics 105(1), 5–26</x:v>
      </x:c>
      <x:c r="F45" s="112" t="str">
        <x:v>Leading econometrics journal; verify current ABDC/ABS list</x:v>
      </x:c>
      <x:c r="G45" s="112" t="str">
        <x:v>Option-implied volatility vs historical/high-frequency realized information.</x:v>
      </x:c>
      <x:c r="H45" s="112" t="str">
        <x:v>How much incremental information do VIX-type implied volatility and 5-minute index returns contain for future volatility?</x:v>
      </x:c>
      <x:c r="I45" s="112" t="str">
        <x:v>ARCH-based volatility forecasting over 1–20 day horizons using daily returns, VIX and 5-minute realized-variance information.</x:v>
      </x:c>
      <x:c r="J45" s="112" t="str">
        <x:v>S&amp;P 100 index; exact sample dates should be checked in the paper.</x:v>
      </x:c>
      <x:c r="K45" s="112" t="str">
        <x:v>Future realized volatility.</x:v>
      </x:c>
      <x:c r="L45" s="112" t="str">
        <x:v>VIX implied volatility, 5-minute realized volatility and daily return-based volatility information.</x:v>
      </x:c>
      <x:c r="M45" s="112" t="str">
        <x:v>VIX contains most of the relevant in-sample information and provides the most accurate OOS volatility forecasts across horizons/measures in this application.</x:v>
      </x:c>
      <x:c r="N45" s="112" t="str">
        <x:v>Single US index and older VIX construction; strong volatility forecasting does not automatically imply best VaR forecasting.</x:v>
      </x:c>
      <x:c r="O45" s="112" t="str">
        <x:v>Combine implied and realized information in tail-specific models.</x:v>
      </x:c>
      <x:c r="P45" s="116" t="str">
        <x:v>Supporting</x:v>
      </x:c>
      <x:c r="Q45" s="112" t="str">
        <x:v>Implied-volatility predictors</x:v>
      </x:c>
      <x:c r="R45" s="112" t="str">
        <x:v>Economic justification for LogIV as a forward-looking QR predictor and for distinguishing volatility prediction from VaR prediction.</x:v>
      </x:c>
      <x:c r="S45" s="112" t="str">
        <x:v>https://doi.org/10.1016/S0304-4076(01)00068-9</x:v>
      </x:c>
      <x:c r="T45" s="112" t="str">
        <x:v>ScienceDirect publisher abstract.</x:v>
      </x:c>
      <x:c r="U45" s="116" t="str">
        <x:v>To verify</x:v>
      </x:c>
    </x:row>
    <x:row r="46" ht="78" customHeight="1">
      <x:c r="A46" s="116" t="n">
        <x:v>44</x:v>
      </x:c>
      <x:c r="B46" s="112" t="str">
        <x:v>Expected Stock Returns and Variance Risk Premia</x:v>
      </x:c>
      <x:c r="C46" s="116" t="n">
        <x:v>2009</x:v>
      </x:c>
      <x:c r="D46" s="112" t="str">
        <x:v>Tim Bollerslev; George Tauchen; Hao Zhou</x:v>
      </x:c>
      <x:c r="E46" s="112" t="str">
        <x:v>The Review of Financial Studies 22(11), 4463–4492</x:v>
      </x:c>
      <x:c r="F46" s="112" t="str">
        <x:v>Top-tier finance journal; verify current ABDC/ABS list</x:v>
      </x:c>
      <x:c r="G46" s="112" t="str">
        <x:v>Variance risk premium; implied minus realized variance; time-varying risk aversion.</x:v>
      </x:c>
      <x:c r="H46" s="112" t="str">
        <x:v>Does the difference between option-implied and realized variance contain predictive information about future equity returns?</x:v>
      </x:c>
      <x:c r="I46" s="112" t="str">
        <x:v>Theoretical equilibrium motivation + empirical predictive regressions using model-free implied variance and high-frequency realized variance.</x:v>
      </x:c>
      <x:c r="J46" s="112" t="str">
        <x:v>US aggregate equity market, especially post-1990 data; quarterly return predictability.</x:v>
      </x:c>
      <x:c r="K46" s="112" t="str">
        <x:v>Future aggregate stock excess returns.</x:v>
      </x:c>
      <x:c r="L46" s="112" t="str">
        <x:v>Variance risk premium plus conventional return predictors.</x:v>
      </x:c>
      <x:c r="M46" s="112" t="str">
        <x:v>The implied-minus-realized variance wedge predicts a nontrivial share of future market-return variation, especially at intermediate horizons.</x:v>
      </x:c>
      <x:c r="N46" s="112" t="str">
        <x:v>Return-predictability focus rather than direct VaR; VRP definition/measurement is sensitive to implied-variance construction.</x:v>
      </x:c>
      <x:c r="O46" s="112" t="str">
        <x:v>Use VRP in conditional risk/tail models and across international markets.</x:v>
      </x:c>
      <x:c r="P46" s="116" t="str">
        <x:v>Supporting</x:v>
      </x:c>
      <x:c r="Q46" s="112" t="str">
        <x:v>Implied-volatility predictors</x:v>
      </x:c>
      <x:c r="R46" s="112" t="str">
        <x:v>Economic foundation for the project's VRP predictor rather than treating it as an arbitrary difference variable.</x:v>
      </x:c>
      <x:c r="S46" s="112" t="str">
        <x:v>https://doi.org/10.1093/rfs/hhp008</x:v>
      </x:c>
      <x:c r="T46" s="112" t="str">
        <x:v>Oxford Academic publisher abstract.</x:v>
      </x:c>
      <x:c r="U46" s="116" t="str">
        <x:v>To verify</x:v>
      </x:c>
    </x:row>
    <x:row r="47" ht="78" customHeight="1">
      <x:c r="A47" s="116" t="n">
        <x:v>45</x:v>
      </x:c>
      <x:c r="B47" s="112" t="str">
        <x:v>The Extreme Value Method for Estimating the Variance of the Rate of Return</x:v>
      </x:c>
      <x:c r="C47" s="116" t="n">
        <x:v>1980</x:v>
      </x:c>
      <x:c r="D47" s="112" t="str">
        <x:v>Michael Parkinson</x:v>
      </x:c>
      <x:c r="E47" s="112" t="str">
        <x:v>The Journal of Business 53(1), 61–65</x:v>
      </x:c>
      <x:c r="F47" s="112" t="str">
        <x:v>Historic finance journal; ranking not current because journal ceased publication</x:v>
      </x:c>
      <x:c r="G47" s="112" t="str">
        <x:v>High-low range volatility estimator.</x:v>
      </x:c>
      <x:c r="H47" s="112" t="str">
        <x:v>Can the daily high-low price range estimate return variance more efficiently than close-to-close returns alone?</x:v>
      </x:c>
      <x:c r="I47" s="112" t="str">
        <x:v>Derives a range-based volatility estimator under a stylized price-process assumption.</x:v>
      </x:c>
      <x:c r="J47" s="112" t="str">
        <x:v>Methodological paper; no large modern empirical panel.</x:v>
      </x:c>
      <x:c r="K47" s="112" t="str">
        <x:v>Daily return variance/volatility.</x:v>
      </x:c>
      <x:c r="L47" s="112" t="str">
        <x:v>Daily high and low prices.</x:v>
      </x:c>
      <x:c r="M47" s="112" t="str">
        <x:v>Introduces the Parkinson high-low range estimator, which extracts more intraday price-path information from OHLC data than close-to-close squared returns.</x:v>
      </x:c>
      <x:c r="N47" s="112" t="str">
        <x:v>Assumptions exclude several real-market features such as drift/jumps/microstructure; range estimators are not equivalent to high-frequency RV.</x:v>
      </x:c>
      <x:c r="O47" s="112" t="str">
        <x:v>OHLC estimators robust to drift/open-close effects and applications as fallback predictors.</x:v>
      </x:c>
      <x:c r="P47" s="116" t="str">
        <x:v>Supporting</x:v>
      </x:c>
      <x:c r="Q47" s="112" t="str">
        <x:v>Range-based predictors</x:v>
      </x:c>
      <x:c r="R47" s="112" t="str">
        <x:v>Theoretical basis for ParkinsonVar in the QR-Range/fallback information set.</x:v>
      </x:c>
      <x:c r="S47" s="112" t="str">
        <x:v>https://doi.org/10.1086/296071</x:v>
      </x:c>
      <x:c r="T47" s="112" t="str">
        <x:v>RePEc/JSTOR bibliographic record and canonical estimator.</x:v>
      </x:c>
      <x:c r="U47" s="116" t="str">
        <x:v>To verify</x:v>
      </x:c>
    </x:row>
    <x:row r="48" ht="78" customHeight="1">
      <x:c r="A48" s="116" t="n">
        <x:v>46</x:v>
      </x:c>
      <x:c r="B48" s="112" t="str">
        <x:v>On the Estimation of Security Price Volatilities from Historical Data</x:v>
      </x:c>
      <x:c r="C48" s="116" t="n">
        <x:v>1980</x:v>
      </x:c>
      <x:c r="D48" s="112" t="str">
        <x:v>Mark B. Garman; Michael J. Klass</x:v>
      </x:c>
      <x:c r="E48" s="112" t="str">
        <x:v>The Journal of Business 53(1), 67–78</x:v>
      </x:c>
      <x:c r="F48" s="112" t="str">
        <x:v>Historic finance journal; ranking not current because journal ceased publication</x:v>
      </x:c>
      <x:c r="G48" s="112" t="str">
        <x:v>OHLC-based volatility estimation.</x:v>
      </x:c>
      <x:c r="H48" s="112" t="str">
        <x:v>Can open, high, low and close prices be combined to estimate volatility more efficiently than traditional close-to-close estimators?</x:v>
      </x:c>
      <x:c r="I48" s="112" t="str">
        <x:v>Derives volatility estimators using widely available OHLC data and compares relative efficiency.</x:v>
      </x:c>
      <x:c r="J48" s="112" t="str">
        <x:v>Methodological; paper focuses on estimator derivation using public price data.</x:v>
      </x:c>
      <x:c r="K48" s="112" t="str">
        <x:v>Security-price volatility.</x:v>
      </x:c>
      <x:c r="L48" s="112" t="str">
        <x:v>Open, high, low and close (and discussion of volume/public data).</x:v>
      </x:c>
      <x:c r="M48" s="112" t="str">
        <x:v>Develops more efficient historical volatility estimators based on daily OHLC information.</x:v>
      </x:c>
      <x:c r="N48" s="112" t="str">
        <x:v>Estimator assumptions abstract from modern microstructure/jump issues; still less informative than properly constructed intraday RV.</x:v>
      </x:c>
      <x:c r="O48" s="112" t="str">
        <x:v>Robust OHLC/range estimators and risk-forecasting applications.</x:v>
      </x:c>
      <x:c r="P48" s="116" t="str">
        <x:v>Supporting</x:v>
      </x:c>
      <x:c r="Q48" s="112" t="str">
        <x:v>Range-based predictors</x:v>
      </x:c>
      <x:c r="R48" s="112" t="str">
        <x:v>Direct source for GarmanKlassVar and the project's range-only QR fallback.</x:v>
      </x:c>
      <x:c r="S48" s="112" t="str">
        <x:v>https://doi.org/10.1086/296072</x:v>
      </x:c>
      <x:c r="T48" s="112" t="str">
        <x:v>RePEc + Berkeley working-paper abstract.</x:v>
      </x:c>
      <x:c r="U48" s="116" t="str">
        <x:v>To verify</x:v>
      </x:c>
    </x:row>
    <x:row r="49" ht="78" customHeight="1">
      <x:c r="A49" s="116" t="n">
        <x:v>47</x:v>
      </x:c>
      <x:c r="B49" s="112" t="str">
        <x:v>Volatility Forecast Comparison Using Imperfect Volatility Proxies</x:v>
      </x:c>
      <x:c r="C49" s="116" t="n">
        <x:v>2011</x:v>
      </x:c>
      <x:c r="D49" s="112" t="str">
        <x:v>Andrew J. Patton</x:v>
      </x:c>
      <x:c r="E49" s="112" t="str">
        <x:v>Journal of Econometrics 160(1), 246–256</x:v>
      </x:c>
      <x:c r="F49" s="112" t="str">
        <x:v>Leading econometrics journal; verify current ABDC/ABS list</x:v>
      </x:c>
      <x:c r="G49" s="112" t="str">
        <x:v>Loss-function robustness to noisy volatility proxies; QLIKE.</x:v>
      </x:c>
      <x:c r="H49" s="112" t="str">
        <x:v>Which volatility forecast loss functions preserve model rankings when the volatility proxy is conditionally unbiased but noisy?</x:v>
      </x:c>
      <x:c r="I49" s="112" t="str">
        <x:v>Derives necessary/sufficient conditions for proxy-robust loss functions; empirical IBM application.</x:v>
      </x:c>
      <x:c r="J49" s="112" t="str">
        <x:v>Empirical illustration on IBM returns, 1993–2003, plus analytical theory.</x:v>
      </x:c>
      <x:c r="K49" s="112" t="str">
        <x:v>Ranking/performance of conditional-variance forecasts.</x:v>
      </x:c>
      <x:c r="L49" s="112" t="str">
        <x:v>Forecasts, imperfect volatility proxy and choice of loss function.</x:v>
      </x:c>
      <x:c r="M49" s="112" t="str">
        <x:v>Shows that some common losses are distorted by proxy noise and derives a robust class including useful special cases such as QLIKE/MSE under conditions.</x:v>
      </x:c>
      <x:c r="N49" s="112" t="str">
        <x:v>Robustness is with respect to specific proxy-error conditions; not a tail-risk comparison.</x:v>
      </x:c>
      <x:c r="O49" s="112" t="str">
        <x:v>Use proxy-robust losses with improved realized measures and more sophisticated forecast comparisons.</x:v>
      </x:c>
      <x:c r="P49" s="116" t="str">
        <x:v>Core</x:v>
      </x:c>
      <x:c r="Q49" s="112" t="str">
        <x:v>Forecast evaluation</x:v>
      </x:c>
      <x:c r="R49" s="112" t="str">
        <x:v>Primary methodological citation for making QLIKE the project's main variance loss.</x:v>
      </x:c>
      <x:c r="S49" s="112" t="str">
        <x:v>https://doi.org/10.1016/j.jeconom.2010.03.034</x:v>
      </x:c>
      <x:c r="T49" s="112" t="str">
        <x:v>ScienceDirect publisher abstract.</x:v>
      </x:c>
      <x:c r="U49" s="116" t="str">
        <x:v>To verify</x:v>
      </x:c>
    </x:row>
    <x:row r="50" ht="78" customHeight="1">
      <x:c r="A50" s="116" t="n">
        <x:v>48</x:v>
      </x:c>
      <x:c r="B50" s="112" t="str">
        <x:v>Comparing Predictive Accuracy</x:v>
      </x:c>
      <x:c r="C50" s="116" t="n">
        <x:v>1995</x:v>
      </x:c>
      <x:c r="D50" s="112" t="str">
        <x:v>Francis X. Diebold; Roberto S. Mariano</x:v>
      </x:c>
      <x:c r="E50" s="112" t="str">
        <x:v>Journal of Business &amp; Economic Statistics 13(3), 253–263</x:v>
      </x:c>
      <x:c r="F50" s="112" t="str">
        <x:v>Leading statistics/econometrics journal; verify current ABDC/ABS list</x:v>
      </x:c>
      <x:c r="G50" s="112" t="str">
        <x:v>Forecast-comparison test based on loss differentials.</x:v>
      </x:c>
      <x:c r="H50" s="112" t="str">
        <x:v>How can the null of equal predictive accuracy between two forecasts be tested under general loss functions and serially correlated/non-Gaussian forecast errors?</x:v>
      </x:c>
      <x:c r="I50" s="112" t="str">
        <x:v>Develops asymptotic and finite-sample predictive-accuracy tests using the mean loss differential and its long-run variance.</x:v>
      </x:c>
      <x:c r="J50" s="112" t="str">
        <x:v>Methodological with exchange-rate illustration.</x:v>
      </x:c>
      <x:c r="K50" s="112" t="str">
        <x:v>Loss differential between competing forecasts.</x:v>
      </x:c>
      <x:c r="L50" s="112" t="str">
        <x:v>Forecast errors/losses from competing models.</x:v>
      </x:c>
      <x:c r="M50" s="112" t="str">
        <x:v>Provides a flexible forecast-comparison test allowing asymmetric/nonquadratic loss and serial correlation.</x:v>
      </x:c>
      <x:c r="N50" s="112" t="str">
        <x:v>Small-sample size can be distorted; long-run variance must be estimated appropriately.</x:v>
      </x:c>
      <x:c r="O50" s="112" t="str">
        <x:v>HAC/small-sample corrections and multiple-model comparison procedures.</x:v>
      </x:c>
      <x:c r="P50" s="116" t="str">
        <x:v>Core</x:v>
      </x:c>
      <x:c r="Q50" s="112" t="str">
        <x:v>Forecast evaluation</x:v>
      </x:c>
      <x:c r="R50" s="112" t="str">
        <x:v>Direct source for upgrading the project's DM tests to HAC-consistent standard errors when loss differentials are serially correlated.</x:v>
      </x:c>
      <x:c r="S50" s="112" t="str">
        <x:v>https://doi.org/10.1080/07350015.1995.10524599</x:v>
      </x:c>
      <x:c r="T50" s="112" t="str">
        <x:v>Taylor &amp; Francis publisher abstract.</x:v>
      </x:c>
      <x:c r="U50" s="116" t="str">
        <x:v>To verify</x:v>
      </x:c>
    </x:row>
    <x:row r="51" ht="78" customHeight="1">
      <x:c r="A51" s="116" t="n">
        <x:v>49</x:v>
      </x:c>
      <x:c r="B51" s="112" t="str">
        <x:v>Techniques for Verifying the Accuracy of Risk Measurement Models</x:v>
      </x:c>
      <x:c r="C51" s="116" t="n">
        <x:v>1995</x:v>
      </x:c>
      <x:c r="D51" s="112" t="str">
        <x:v>Paul H. Kupiec</x:v>
      </x:c>
      <x:c r="E51" s="112" t="str">
        <x:v>The Journal of Derivatives 3(2), 73–84</x:v>
      </x:c>
      <x:c r="F51" s="112" t="str">
        <x:v>Specialist practitioner/academic derivatives journal; verify current ranking separately</x:v>
      </x:c>
      <x:c r="G51" s="112" t="str">
        <x:v>VaR unconditional coverage/backtesting.</x:v>
      </x:c>
      <x:c r="H51" s="112" t="str">
        <x:v>How can the statistical accuracy of VaR risk-measurement models be formally assessed?</x:v>
      </x:c>
      <x:c r="I51" s="112" t="str">
        <x:v>Develops formal statistical procedures for VaR exception/coverage testing.</x:v>
      </x:c>
      <x:c r="J51" s="112" t="str">
        <x:v>Methodological risk-management study; no single modern equity panel.</x:v>
      </x:c>
      <x:c r="K51" s="112" t="str">
        <x:v>Number/rate of VaR violations.</x:v>
      </x:c>
      <x:c r="L51" s="112" t="str">
        <x:v>Forecast VaR level and realized P&amp;L exceedance indicator.</x:v>
      </x:c>
      <x:c r="M51" s="112" t="str">
        <x:v>Provides the standard unconditional-coverage likelihood-ratio framework for testing whether observed violation frequency matches the nominal VaR level.</x:v>
      </x:c>
      <x:c r="N51" s="112" t="str">
        <x:v>Correct unconditional hit rate does not ensure violations are independent or dynamically unpredictable.</x:v>
      </x:c>
      <x:c r="O51" s="112" t="str">
        <x:v>Conditional-coverage and dynamic hit tests.</x:v>
      </x:c>
      <x:c r="P51" s="116" t="str">
        <x:v>Core</x:v>
      </x:c>
      <x:c r="Q51" s="112" t="str">
        <x:v>VaR backtesting</x:v>
      </x:c>
      <x:c r="R51" s="112" t="str">
        <x:v>Basis for the project's Kupiec unconditional coverage test.</x:v>
      </x:c>
      <x:c r="S51" s="112" t="str">
        <x:v>https://doi.org/10.3905/jod.1995.407942</x:v>
      </x:c>
      <x:c r="T51" s="112" t="str">
        <x:v>SSRN/published citation and abstract.</x:v>
      </x:c>
      <x:c r="U51" s="116" t="str">
        <x:v>To verify</x:v>
      </x:c>
    </x:row>
    <x:row r="52" ht="78" customHeight="1">
      <x:c r="A52" s="116" t="n">
        <x:v>50</x:v>
      </x:c>
      <x:c r="B52" s="112" t="str">
        <x:v>Evaluating Interval Forecasts</x:v>
      </x:c>
      <x:c r="C52" s="116" t="n">
        <x:v>1998</x:v>
      </x:c>
      <x:c r="D52" s="112" t="str">
        <x:v>Peter F. Christoffersen</x:v>
      </x:c>
      <x:c r="E52" s="112" t="str">
        <x:v>International Economic Review 39(4), 841–862</x:v>
      </x:c>
      <x:c r="F52" s="112" t="str">
        <x:v>Leading economics journal; verify current ABDC/ABS list</x:v>
      </x:c>
      <x:c r="G52" s="112" t="str">
        <x:v>Conditional coverage; independence of interval/VaR violations.</x:v>
      </x:c>
      <x:c r="H52" s="112" t="str">
        <x:v>How should interval forecasts be evaluated when higher-order moment dynamics make unconditional coverage alone insufficient?</x:v>
      </x:c>
      <x:c r="I52" s="112" t="str">
        <x:v>Develops likelihood-ratio tests for coverage, independence and conditional coverage; exchange-rate risk-management application.</x:v>
      </x:c>
      <x:c r="J52" s="112" t="str">
        <x:v>Methodological + exchange-rate forecasting application.</x:v>
      </x:c>
      <x:c r="K52" s="112" t="str">
        <x:v>Interval/VaR hit sequence.</x:v>
      </x:c>
      <x:c r="L52" s="112" t="str">
        <x:v>Forecast interval and transition probabilities of hit/non-hit states.</x:v>
      </x:c>
      <x:c r="M52" s="112" t="str">
        <x:v>Shows that valid interval forecasts require correct coverage and appropriate independence; violations should not cluster predictably.</x:v>
      </x:c>
      <x:c r="N52" s="112" t="str">
        <x:v>Binary-hit tests can have low power in very small tail samples; do not directly rank forecast sharpness.</x:v>
      </x:c>
      <x:c r="O52" s="112" t="str">
        <x:v>Dynamic quantile tests and proper scoring methods.</x:v>
      </x:c>
      <x:c r="P52" s="116" t="str">
        <x:v>Core</x:v>
      </x:c>
      <x:c r="Q52" s="112" t="str">
        <x:v>VaR backtesting</x:v>
      </x:c>
      <x:c r="R52" s="112" t="str">
        <x:v>Basis for conditional-coverage testing; especially important when extreme breaches cluster during crises.</x:v>
      </x:c>
      <x:c r="S52" s="112" t="str">
        <x:v>https://doi.org/10.2307/2527341</x:v>
      </x:c>
      <x:c r="T52" s="112" t="str">
        <x:v>Published full-text copy/IDEAS bibliographic information.</x:v>
      </x:c>
      <x:c r="U52" s="116" t="str">
        <x:v>To verify</x:v>
      </x:c>
    </x:row>
    <x:row r="53" ht="78" customHeight="1">
      <x:c r="A53" s="116" t="n">
        <x:v>51</x:v>
      </x:c>
      <x:c r="B53" s="112" t="str">
        <x:v>The Model Confidence Set</x:v>
      </x:c>
      <x:c r="C53" s="116" t="n">
        <x:v>2011</x:v>
      </x:c>
      <x:c r="D53" s="112" t="str">
        <x:v>Peter R. Hansen; Asger Lunde; James M. Nason</x:v>
      </x:c>
      <x:c r="E53" s="112" t="str">
        <x:v>Econometrica 79(2), 453–497</x:v>
      </x:c>
      <x:c r="F53" s="112" t="str">
        <x:v>Top-tier general economics/econometrics journal; verify current ABDC/ABS list</x:v>
      </x:c>
      <x:c r="G53" s="112" t="str">
        <x:v>Multiple-model forecast comparison; superior model set.</x:v>
      </x:c>
      <x:c r="H53" s="112" t="str">
        <x:v>How can one construct a statistically justified set of models that contains the best model with a chosen confidence level?</x:v>
      </x:c>
      <x:c r="I53" s="112" t="str">
        <x:v>Sequential equal-predictive-ability tests that eliminate inferior models to construct the Model Confidence Set.</x:v>
      </x:c>
      <x:c r="J53" s="112" t="str">
        <x:v>Methodological with empirical forecasting applications.</x:v>
      </x:c>
      <x:c r="K53" s="112" t="str">
        <x:v>Model membership in the superior set / forecast-loss performance.</x:v>
      </x:c>
      <x:c r="L53" s="112" t="str">
        <x:v>Loss series for a collection of competing models.</x:v>
      </x:c>
      <x:c r="M53" s="112" t="str">
        <x:v>Provides a principled alternative to declaring one winner after many pairwise tests and explicitly addresses multiple comparisons.</x:v>
      </x:c>
      <x:c r="N53" s="112" t="str">
        <x:v>Results depend on chosen loss and bootstrap/test implementation; MCS may retain several models.</x:v>
      </x:c>
      <x:c r="O53" s="112" t="str">
        <x:v>Use across markets/loss functions and in high-dimensional forecast comparisons.</x:v>
      </x:c>
      <x:c r="P53" s="116" t="str">
        <x:v>Core</x:v>
      </x:c>
      <x:c r="Q53" s="112" t="str">
        <x:v>Forecast evaluation</x:v>
      </x:c>
      <x:c r="R53" s="112" t="str">
        <x:v>Appropriate for our multi-model, multi-market comparison where rankings can differ by loss and crisis regime.</x:v>
      </x:c>
      <x:c r="S53" s="112" t="str">
        <x:v>https://doi.org/10.3982/ECTA5771</x:v>
      </x:c>
      <x:c r="T53" s="112" t="str">
        <x:v>Wiley publisher abstract/citation.</x:v>
      </x:c>
      <x:c r="U53" s="116" t="str">
        <x:v>To verify</x:v>
      </x:c>
    </x:row>
    <x:row r="54" ht="78" customHeight="1">
      <x:c r="A54" s="116" t="n">
        <x:v>52</x:v>
      </x:c>
      <x:c r="B54" s="112" t="str">
        <x:v>Higher Order Elicitability and Osband's Principle</x:v>
      </x:c>
      <x:c r="C54" s="116" t="n">
        <x:v>2016</x:v>
      </x:c>
      <x:c r="D54" s="112" t="str">
        <x:v>Tobias Fissler; Johanna F. Ziegel</x:v>
      </x:c>
      <x:c r="E54" s="112" t="str">
        <x:v>The Annals of Statistics 44(4), 1680–1707</x:v>
      </x:c>
      <x:c r="F54" s="112" t="str">
        <x:v>Leading statistics journal; verify current ranking separately</x:v>
      </x:c>
      <x:c r="G54" s="112" t="str">
        <x:v>Elicitability; strictly consistent scoring; joint VaR–ES evaluation.</x:v>
      </x:c>
      <x:c r="H54" s="112" t="str">
        <x:v>Which multidimensional statistical functionals admit strictly consistent scoring functions, and can non-elicitable quantities be jointly elicitable?</x:v>
      </x:c>
      <x:c r="I54" s="112" t="str">
        <x:v>Statistical decision theory; characterizes scoring functions and higher-order elicitability.</x:v>
      </x:c>
      <x:c r="J54" s="112" t="str">
        <x:v>Theoretical; no empirical sample.</x:v>
      </x:c>
      <x:c r="K54" s="112" t="str">
        <x:v>Forecast functional / expected score.</x:v>
      </x:c>
      <x:c r="L54" s="112" t="str">
        <x:v>Candidate functional and scoring function.</x:v>
      </x:c>
      <x:c r="M54" s="112" t="str">
        <x:v>A key applied result is that the pair (VaR, ES) is jointly elicitable under mild conditions, enabling proper joint forecast comparison.</x:v>
      </x:c>
      <x:c r="N54" s="112" t="str">
        <x:v>Theoretical result does not itself specify one unique empirical VaR–ES model.</x:v>
      </x:c>
      <x:c r="O54" s="112" t="str">
        <x:v>Joint risk forecasting/scoring and regulatory backtesting applications.</x:v>
      </x:c>
      <x:c r="P54" s="116" t="str">
        <x:v>Core</x:v>
      </x:c>
      <x:c r="Q54" s="112" t="str">
        <x:v>ES evaluation</x:v>
      </x:c>
      <x:c r="R54" s="112" t="str">
        <x:v>Prevents misuse of ES evaluation and underpins FZ/FZ0 joint VaR–ES scores.</x:v>
      </x:c>
      <x:c r="S54" s="112" t="str">
        <x:v>https://doi.org/10.1214/16-AOS1439</x:v>
      </x:c>
      <x:c r="T54" s="112" t="str">
        <x:v>Published citation + arXiv abstract/theorem description.</x:v>
      </x:c>
      <x:c r="U54" s="116" t="str">
        <x:v>To verify</x:v>
      </x:c>
    </x:row>
    <x:row r="55" ht="78" customHeight="1">
      <x:c r="A55" s="116" t="n">
        <x:v>53</x:v>
      </x:c>
      <x:c r="B55" s="112" t="str">
        <x:v>Forecasting Value at Risk and Expected Shortfall Using a Semiparametric Approach Based on the Asymmetric Laplace Distribution</x:v>
      </x:c>
      <x:c r="C55" s="116" t="n">
        <x:v>2019</x:v>
      </x:c>
      <x:c r="D55" s="112" t="str">
        <x:v>James W. Taylor</x:v>
      </x:c>
      <x:c r="E55" s="112" t="str">
        <x:v>Journal of Business &amp; Economic Statistics 37(1), 121–133</x:v>
      </x:c>
      <x:c r="F55" s="112" t="str">
        <x:v>Leading statistics/econometrics journal; verify current ABDC/ABS list</x:v>
      </x:c>
      <x:c r="G55" s="112" t="str">
        <x:v>Joint VaR–ES semiparametric modelling; asymmetric Laplace; consistent joint scoring.</x:v>
      </x:c>
      <x:c r="H55" s="112" t="str">
        <x:v>How can ES be predicted alongside quantile-regression VaR without assuming a complete return distribution?</x:v>
      </x:c>
      <x:c r="I55" s="112" t="str">
        <x:v>Allows asymmetric-Laplace scale to vary over time to jointly estimate VaR and ES; uses AL log score for evaluation.</x:v>
      </x:c>
      <x:c r="J55" s="112" t="str">
        <x:v>Empirical stock-index illustration.</x:v>
      </x:c>
      <x:c r="K55" s="112" t="str">
        <x:v>Conditional VaR and ES.</x:v>
      </x:c>
      <x:c r="L55" s="112" t="str">
        <x:v>Dynamic quantile state and time-varying asymmetric-Laplace scale.</x:v>
      </x:c>
      <x:c r="M55" s="112" t="str">
        <x:v>Provides a practical semiparametric route from VaR-only quantile models to joint VaR–ES forecasts and joint scoring.</x:v>
      </x:c>
      <x:c r="N55" s="112" t="str">
        <x:v>Uses a specific dynamic structure and pseudo-likelihood device; more complex than vanilla QR.</x:v>
      </x:c>
      <x:c r="O55" s="112" t="str">
        <x:v>Realized-measure drivers and richer joint VaR–ES dynamics.</x:v>
      </x:c>
      <x:c r="P55" s="116" t="str">
        <x:v>Supporting</x:v>
      </x:c>
      <x:c r="Q55" s="112" t="str">
        <x:v>ES evaluation / QR extension</x:v>
      </x:c>
      <x:c r="R55" s="112" t="str">
        <x:v>Natural extension if the project later wants a truly three-way ES comparison including the QR family.</x:v>
      </x:c>
      <x:c r="S55" s="112" t="str">
        <x:v>https://doi.org/10.1080/07350015.2017.1281815</x:v>
      </x:c>
      <x:c r="T55" s="112" t="str">
        <x:v>Taylor &amp; Francis publisher abstract.</x:v>
      </x:c>
      <x:c r="U55" s="116" t="str">
        <x:v>To verify</x:v>
      </x:c>
    </x:row>
    <x:row r="56" ht="78" customHeight="1">
      <x:c r="A56" s="116" t="n">
        <x:v>54</x:v>
      </x:c>
      <x:c r="B56" s="112" t="str">
        <x:v>Dynamic Semiparametric Models for Expected Shortfall (and Value-at-Risk)</x:v>
      </x:c>
      <x:c r="C56" s="116" t="n">
        <x:v>2019</x:v>
      </x:c>
      <x:c r="D56" s="112" t="str">
        <x:v>Andrew J. Patton; Johanna F. Ziegel; Rui Chen</x:v>
      </x:c>
      <x:c r="E56" s="112" t="str">
        <x:v>Journal of Econometrics 211(2), 388–413</x:v>
      </x:c>
      <x:c r="F56" s="112" t="str">
        <x:v>Leading econometrics journal; verify current ABDC/ABS list</x:v>
      </x:c>
      <x:c r="G56" s="112" t="str">
        <x:v>Dynamic joint VaR–ES models; elicitability; semiparametric risk forecasting.</x:v>
      </x:c>
      <x:c r="H56" s="112" t="str">
        <x:v>Can recent joint-elicitability theory be used to build dynamic, estimable VaR–ES forecasting models?</x:v>
      </x:c>
      <x:c r="I56" s="112" t="str">
        <x:v>Develops joint dynamic VaR/ES models, estimation and inference; simulation and international-equity OOS comparison.</x:v>
      </x:c>
      <x:c r="J56" s="112" t="str">
        <x:v>Daily returns on four international equity indices.</x:v>
      </x:c>
      <x:c r="K56" s="112" t="str">
        <x:v>VaR and ES forecasts / joint score.</x:v>
      </x:c>
      <x:c r="L56" s="112" t="str">
        <x:v>Dynamic semiparametric state variables.</x:v>
      </x:c>
      <x:c r="M56" s="112" t="str">
        <x:v>Proposed ES–VaR models outperform GARCH or rolling-window forecasts in their application.</x:v>
      </x:c>
      <x:c r="N56" s="112" t="str">
        <x:v>Different objective/model class from vanilla QR and the project's current GARCH-EVT/RealGARCH comparison.</x:v>
      </x:c>
      <x:c r="O56" s="112" t="str">
        <x:v>Richer predictors, realized information and alternative joint scoring specifications.</x:v>
      </x:c>
      <x:c r="P56" s="116" t="str">
        <x:v>Supporting</x:v>
      </x:c>
      <x:c r="Q56" s="112" t="str">
        <x:v>ES evaluation / QR extension</x:v>
      </x:c>
      <x:c r="R56" s="112" t="str">
        <x:v>Important modern benchmark for how ES should be modelled if we decide to extend beyond VaR-only QR.</x:v>
      </x:c>
      <x:c r="S56" s="112" t="str">
        <x:v>https://doi.org/10.1016/j.jeconom.2018.10.008</x:v>
      </x:c>
      <x:c r="T56" s="112" t="str">
        <x:v>ScienceDirect publisher abstract.</x:v>
      </x:c>
      <x:c r="U56" s="116" t="str">
        <x:v>To verify</x:v>
      </x:c>
    </x:row>
    <x:row r="57" ht="78" customHeight="1">
      <x:c r="A57" s="116" t="n">
        <x:v>55</x:v>
      </x:c>
      <x:c r="B57" s="112" t="str">
        <x:v>Persistence in Variance, Structural Change, and the GARCH Model</x:v>
      </x:c>
      <x:c r="C57" s="116" t="n">
        <x:v>1990</x:v>
      </x:c>
      <x:c r="D57" s="112" t="str">
        <x:v>Christopher G. Lamoureux; William D. Lastrapes</x:v>
      </x:c>
      <x:c r="E57" s="112" t="str">
        <x:v>Journal of Business &amp; Economic Statistics 8(2), 225–234</x:v>
      </x:c>
      <x:c r="F57" s="112" t="str">
        <x:v>Leading statistics/econometrics journal; verify current ABDC/ABS list</x:v>
      </x:c>
      <x:c r="G57" s="112" t="str">
        <x:v>Structural breaks vs apparent GARCH persistence.</x:v>
      </x:c>
      <x:c r="H57" s="112" t="str">
        <x:v>Can failure to model deterministic variance shifts cause GARCH persistence estimates to be overstated?</x:v>
      </x:c>
      <x:c r="I57" s="112" t="str">
        <x:v>Daily stock-return empirical analysis plus Monte Carlo simulation.</x:v>
      </x:c>
      <x:c r="J57" s="112" t="str">
        <x:v>Daily stock-return data; exact series/sample should be checked in full paper.</x:v>
      </x:c>
      <x:c r="K57" s="112" t="str">
        <x:v>Estimated GARCH variance persistence.</x:v>
      </x:c>
      <x:c r="L57" s="112" t="str">
        <x:v>Structural-shift specification / omission and GARCH parameters.</x:v>
      </x:c>
      <x:c r="M57" s="112" t="str">
        <x:v>GARCH persistence estimates are sensitive to neglected structural variance shifts and can be overstated under misspecification.</x:v>
      </x:c>
      <x:c r="N57" s="112" t="str">
        <x:v>Focuses on deterministic breaks and earlier GARCH specifications; not directly a forecast-loss study.</x:v>
      </x:c>
      <x:c r="O57" s="112" t="str">
        <x:v>Break-aware volatility models and adaptive estimation windows.</x:v>
      </x:c>
      <x:c r="P57" s="116" t="str">
        <x:v>Core</x:v>
      </x:c>
      <x:c r="Q57" s="112" t="str">
        <x:v>Structural breaks / regimes</x:v>
      </x:c>
      <x:c r="R57" s="112" t="str">
        <x:v>Critical caveat when interpreting our near-unit GARCH persistence and long-memory evidence.</x:v>
      </x:c>
      <x:c r="S57" s="112" t="str">
        <x:v>https://doi.org/10.1080/07350015.1990.10509794</x:v>
      </x:c>
      <x:c r="T57" s="112" t="str">
        <x:v>Publisher abstract.</x:v>
      </x:c>
      <x:c r="U57" s="116" t="str">
        <x:v>To verify</x:v>
      </x:c>
    </x:row>
    <x:row r="58" ht="78" customHeight="1">
      <x:c r="A58" s="116" t="n">
        <x:v>56</x:v>
      </x:c>
      <x:c r="B58" s="112" t="str">
        <x:v>Nonstationarities in Financial Time Series, the Long-Range Dependence, and the IGARCH Effects</x:v>
      </x:c>
      <x:c r="C58" s="116" t="n">
        <x:v>2004</x:v>
      </x:c>
      <x:c r="D58" s="112" t="str">
        <x:v>Thomas Mikosch; Cătălin Stărică</x:v>
      </x:c>
      <x:c r="E58" s="112" t="str">
        <x:v>The Review of Economics and Statistics 86(1), 378–390</x:v>
      </x:c>
      <x:c r="F58" s="112" t="str">
        <x:v>Top general/applied economics journal; verify current ABDC/ABS list</x:v>
      </x:c>
      <x:c r="G58" s="112" t="str">
        <x:v>Nonstationarity as an explanation for apparent long memory and IGARCH.</x:v>
      </x:c>
      <x:c r="H58" s="112" t="str">
        <x:v>Can observed long-range dependence in volatility and IGARCH-like behaviour arise because the data are nonstationary?</x:v>
      </x:c>
      <x:c r="I58" s="112" t="str">
        <x:v>Theoretical analysis with financial time-series motivation/application.</x:v>
      </x:c>
      <x:c r="J58" s="112" t="str">
        <x:v>Long financial return series; exact empirical application should be checked in paper.</x:v>
      </x:c>
      <x:c r="K58" s="112" t="str">
        <x:v>Apparent volatility persistence / long-range dependence.</x:v>
      </x:c>
      <x:c r="L58" s="112" t="str">
        <x:v>Nonstationary volatility regimes/process structure.</x:v>
      </x:c>
      <x:c r="M58" s="112" t="str">
        <x:v>Provides theoretical support for the idea that nonstationarity can generate both apparent long-memory and IGARCH effects.</x:v>
      </x:c>
      <x:c r="N58" s="112" t="str">
        <x:v>Does not imply that all observed long memory is spurious; empirical identification between mechanisms remains difficult.</x:v>
      </x:c>
      <x:c r="O58" s="112" t="str">
        <x:v>Break/regime-aware models and robust discrimination between long memory and nonstationarity.</x:v>
      </x:c>
      <x:c r="P58" s="116" t="str">
        <x:v>Core</x:v>
      </x:c>
      <x:c r="Q58" s="112" t="str">
        <x:v>Structural breaks / regimes</x:v>
      </x:c>
      <x:c r="R58" s="112" t="str">
        <x:v>Supports careful wording of our GPH findings: long-memory-like behaviour may partly reflect changing volatility regimes.</x:v>
      </x:c>
      <x:c r="S58" s="112" t="str">
        <x:v>https://doi.org/10.1162/003465304323023886</x:v>
      </x:c>
      <x:c r="T58" s="112" t="str">
        <x:v>RePEc/MIT bibliographic abstract.</x:v>
      </x:c>
      <x:c r="U58" s="116" t="str">
        <x:v>To verify</x:v>
      </x:c>
    </x:row>
    <x:row r="59" ht="78" customHeight="1">
      <x:c r="A59" s="116" t="n">
        <x:v>57</x:v>
      </x:c>
      <x:c r="B59" s="112" t="str">
        <x:v>Occasional Structural Breaks and Long Memory with an Application to the S&amp;P 500 Absolute Stock Returns</x:v>
      </x:c>
      <x:c r="C59" s="116" t="n">
        <x:v>2004</x:v>
      </x:c>
      <x:c r="D59" s="112" t="str">
        <x:v>Clive W. J. Granger; Namwon Hyung</x:v>
      </x:c>
      <x:c r="E59" s="112" t="str">
        <x:v>Journal of Empirical Finance 11(3), 399–421</x:v>
      </x:c>
      <x:c r="F59" s="112" t="str">
        <x:v>Established financial econometrics journal; verify current ABDC/ABS list</x:v>
      </x:c>
      <x:c r="G59" s="112" t="str">
        <x:v>Occasional breaks vs fractional long memory.</x:v>
      </x:c>
      <x:c r="H59" s="112" t="str">
        <x:v>Can occasional structural breaks generate slowly decaying autocorrelations that mimic I(d) long-memory processes?</x:v>
      </x:c>
      <x:c r="I59" s="112" t="str">
        <x:v>Theory/simulation plus comparison of occasional-break and I(d) models for S&amp;P 500 absolute returns.</x:v>
      </x:c>
      <x:c r="J59" s="112" t="str">
        <x:v>S&amp;P 500 absolute stock returns; exact date range should be checked in paper.</x:v>
      </x:c>
      <x:c r="K59" s="112" t="str">
        <x:v>Absolute returns / persistence pattern.</x:v>
      </x:c>
      <x:c r="L59" s="112" t="str">
        <x:v>Break process versus fractional-integration specification.</x:v>
      </x:c>
      <x:c r="M59" s="112" t="str">
        <x:v>Occasional breaks can mimic long-memory properties and are difficult to distinguish from I(d); the break model fits marginally better in their S&amp;P 500 application.</x:v>
      </x:c>
      <x:c r="N59" s="112" t="str">
        <x:v>Single main empirical series and specific break specification.</x:v>
      </x:c>
      <x:c r="O59" s="112" t="str">
        <x:v>Forecast comparison and adaptive models allowing both persistent dynamics and breaks.</x:v>
      </x:c>
      <x:c r="P59" s="116" t="str">
        <x:v>Supporting</x:v>
      </x:c>
      <x:c r="Q59" s="112" t="str">
        <x:v>Structural breaks / regimes</x:v>
      </x:c>
      <x:c r="R59" s="112" t="str">
        <x:v>Further reason not to use a GPH d estimate alone to justify an expanding estimation window.</x:v>
      </x:c>
      <x:c r="S59" s="112" t="str">
        <x:v>https://doi.org/10.1016/j.jempfin.2003.03.001</x:v>
      </x:c>
      <x:c r="T59" s="112" t="str">
        <x:v>ScienceDirect publisher abstract.</x:v>
      </x:c>
      <x:c r="U59" s="116" t="str">
        <x:v>To verify</x:v>
      </x:c>
    </x:row>
    <x:row r="60" ht="78" customHeight="1">
      <x:c r="A60" s="116" t="n">
        <x:v>58</x:v>
      </x:c>
      <x:c r="B60" s="112" t="str">
        <x:v>Selection of Estimation Window in the Presence of Breaks</x:v>
      </x:c>
      <x:c r="C60" s="116" t="n">
        <x:v>2007</x:v>
      </x:c>
      <x:c r="D60" s="112" t="str">
        <x:v>M. Hashem Pesaran; Allan Timmermann</x:v>
      </x:c>
      <x:c r="E60" s="112" t="str">
        <x:v>Journal of Econometrics 137(1), 134–161</x:v>
      </x:c>
      <x:c r="F60" s="112" t="str">
        <x:v>Leading econometrics journal; verify current ABDC/ABS list</x:v>
      </x:c>
      <x:c r="G60" s="112" t="str">
        <x:v>Forecast-window bias–variance trade-off under structural breaks.</x:v>
      </x:c>
      <x:c r="H60" s="112" t="str">
        <x:v>When a forecasting model is subject to breaks, how much pre-break data should be retained in the estimation window?</x:v>
      </x:c>
      <x:c r="I60" s="112" t="str">
        <x:v>Theoretical forecast-error analysis plus cross-validation and forecast-pooling methods for choosing window length.</x:v>
      </x:c>
      <x:c r="J60" s="112" t="str">
        <x:v>Methodological/econometric; empirical illustrations in paper.</x:v>
      </x:c>
      <x:c r="K60" s="112" t="str">
        <x:v>Out-of-sample forecast error.</x:v>
      </x:c>
      <x:c r="L60" s="112" t="str">
        <x:v>Estimation-window length, break size/timing and pre-/post-break observations.</x:v>
      </x:c>
      <x:c r="M60" s="112" t="str">
        <x:v>Using some pre-break observations can be optimal because discarding them reduces bias but increases parameter-estimation variance; window choice is an empirical bias–variance problem.</x:v>
      </x:c>
      <x:c r="N60" s="112" t="str">
        <x:v>Optimal-window results depend on assumptions about regressors/breaks and are difficult when break timing/size are unknown.</x:v>
      </x:c>
      <x:c r="O60" s="112" t="str">
        <x:v>Adaptive window selection, forecast combinations and real-time break detection.</x:v>
      </x:c>
      <x:c r="P60" s="116" t="str">
        <x:v>Core</x:v>
      </x:c>
      <x:c r="Q60" s="112" t="str">
        <x:v>Structural breaks / robustness</x:v>
      </x:c>
      <x:c r="R60" s="112" t="str">
        <x:v>Best theoretical basis for interpreting our expanding vs fixed 2y/5y robustness as an empirical choice, not an automatic consequence of persistence.</x:v>
      </x:c>
      <x:c r="S60" s="112" t="str">
        <x:v>https://doi.org/10.1016/j.jeconom.2006.03.010</x:v>
      </x:c>
      <x:c r="T60" s="112" t="str">
        <x:v>ScienceDirect publisher abstract.</x:v>
      </x:c>
      <x:c r="U60" s="116" t="str">
        <x:v>To verify</x:v>
      </x:c>
    </x:row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I1:I2"/>
    <x:mergeCell ref="J1:J2"/>
    <x:mergeCell ref="K1:K2"/>
    <x:mergeCell ref="L1:L2"/>
    <x:mergeCell ref="M1:M2"/>
    <x:mergeCell ref="N1:N2"/>
    <x:mergeCell ref="O1:O2"/>
    <x:mergeCell ref="A1:A2"/>
    <x:mergeCell ref="B1:B2"/>
    <x:mergeCell ref="C1:C2"/>
    <x:mergeCell ref="D1:D2"/>
    <x:mergeCell ref="E1:E2"/>
    <x:mergeCell ref="F1:F2"/>
    <x:mergeCell ref="G1:H1"/>
  </x:mergeCells>
  <x:conditionalFormatting sqref="P3:P60">
    <x:cfRule type="expression" dxfId="0" priority="1">
      <x:formula>P3="Core"</x:formula>
    </x:cfRule>
    <x:cfRule type="expression" dxfId="1" priority="2">
      <x:formula>P3="Supporting"</x:formula>
    </x:cfRule>
    <x:cfRule type="expression" dxfId="2" priority="3">
      <x:formula>P3="Comparator"</x:formula>
    </x:cfRule>
  </x:conditionalFormatting>
  <x:conditionalFormatting sqref="U3:U60">
    <x:cfRule type="expression" dxfId="3" priority="4">
      <x:formula>U3="Verified"</x:formula>
    </x:cfRule>
    <x:cfRule type="expression" dxfId="4" priority="5">
      <x:formula>U3="Read in full"</x:formula>
    </x:cfRule>
    <x:cfRule type="expression" dxfId="5" priority="6">
      <x:formula>U3="Needs correction"</x:formula>
    </x:cfRule>
    <x:cfRule type="expression" dxfId="6" priority="7">
      <x:formula>U3="To verify"</x:formula>
    </x:cfRule>
  </x:conditionalFormatting>
  <x:dataValidations count="1">
    <x:dataValidation type="list" sqref="U3:U60">
      <x:formula1>"To verify,Verified,Needs correction,Read in full"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26" hidden="0" customWidth="1"/>
    <x:col min="4" max="4" width="46" hidden="0" customWidth="1"/>
    <x:col min="5" max="5" width="9" hidden="0" customWidth="1"/>
    <x:col min="6" max="6" width="55" hidden="0" customWidth="1"/>
    <x:col min="7" max="7" width="42" hidden="0" customWidth="1"/>
    <x:col min="8" max="8" width="17" hidden="0" customWidth="1"/>
  </x:cols>
  <x:sheetData>
    <x:row r="1" ht="28" customHeight="1">
      <x:c r="A1" s="120" t="str">
        <x:v>Literature Review Reading &amp; Verification Map</x:v>
      </x:c>
      <x:c r="B1" s="120"/>
      <x:c r="C1" s="120"/>
      <x:c r="D1" s="120"/>
      <x:c r="E1" s="120"/>
      <x:c r="F1" s="120"/>
      <x:c r="G1" s="120"/>
      <x:c r="H1" s="120"/>
    </x:row>
    <x:row r="2" ht="24" customHeight="1">
      <x:c r="A2" s="123" t="str">
        <x:v>Metric</x:v>
      </x:c>
      <x:c r="B2" s="124" t="str">
        <x:v>Count</x:v>
      </x:c>
      <x:c r="D2" s="135" t="str">
        <x:v>How to use this workbook</x:v>
      </x:c>
      <x:c r="E2" s="135"/>
      <x:c r="F2" s="135"/>
      <x:c r="G2" s="135"/>
      <x:c r="H2" s="135"/>
    </x:row>
    <x:row r="3" ht="24" customHeight="1">
      <x:c r="A3" s="125" t="str">
        <x:v>Core papers</x:v>
      </x:c>
      <x:c r="B3" s="126" t="n">
        <x:f>COUNTIF(Sheet1!$P$3:$P$60,"Core")</x:f>
        <x:v>43</x:v>
      </x:c>
      <x:c r="D3" s="136" t="str">
        <x:v>1. Open the DOI/source link in column G.</x:v>
      </x:c>
      <x:c r="E3" s="136"/>
      <x:c r="F3" s="136"/>
      <x:c r="G3" s="136"/>
      <x:c r="H3" s="136"/>
    </x:row>
    <x:row r="4" ht="24" customHeight="1">
      <x:c r="A4" s="125" t="str">
        <x:v>Supporting papers</x:v>
      </x:c>
      <x:c r="B4" s="126" t="n">
        <x:f>COUNTIF(Sheet1!$P$3:$P$60,"Supporting")</x:f>
        <x:v>13</x:v>
      </x:c>
      <x:c r="D4" s="136" t="str">
        <x:v>2. Check the paper's method/results against the detailed matrix row on Sheet1.</x:v>
      </x:c>
      <x:c r="E4" s="136"/>
      <x:c r="F4" s="136"/>
      <x:c r="G4" s="136"/>
      <x:c r="H4" s="136"/>
    </x:row>
    <x:row r="5" ht="24" customHeight="1">
      <x:c r="A5" s="127" t="str">
        <x:v>Comparator papers</x:v>
      </x:c>
      <x:c r="B5" s="128" t="n">
        <x:f>COUNTIF(Sheet1!$P$3:$P$60,"Comparator")</x:f>
        <x:v>2</x:v>
      </x:c>
      <x:c r="D5" s="136" t="str">
        <x:v>3. Update the Verification Status to Verified, Needs correction, or Read in full.</x:v>
      </x:c>
      <x:c r="E5" s="136"/>
      <x:c r="F5" s="136"/>
      <x:c r="G5" s="136"/>
      <x:c r="H5" s="136"/>
    </x:row>
    <x:row r="7">
      <x:c r="A7" s="134" t="str">
        <x:v>Order</x:v>
      </x:c>
      <x:c r="B7" s="134" t="str">
        <x:v>Priority</x:v>
      </x:c>
      <x:c r="C7" s="134" t="str">
        <x:v>Literature Block</x:v>
      </x:c>
      <x:c r="D7" s="134" t="str">
        <x:v>Paper</x:v>
      </x:c>
      <x:c r="E7" s="134" t="str">
        <x:v>Year</x:v>
      </x:c>
      <x:c r="F7" s="134" t="str">
        <x:v>Why it matters for our report</x:v>
      </x:c>
      <x:c r="G7" s="134" t="str">
        <x:v>Source / DOI</x:v>
      </x:c>
      <x:c r="H7" s="134" t="str">
        <x:v>Verification Status</x:v>
      </x:c>
    </x:row>
    <x:row r="8" ht="48" customHeight="1">
      <x:c r="A8" s="101" t="n">
        <x:v>1</x:v>
      </x:c>
      <x:c r="B8" s="101" t="str">
        <x:v>Core</x:v>
      </x:c>
      <x:c r="C8" s="101" t="str">
        <x:v>GARCH foundations</x:v>
      </x:c>
      <x:c r="D8" s="101" t="str">
        <x:v>Autoregressive Conditional Heteroscedasticity with Estimates of the Variance of United Kingdom Inflation</x:v>
      </x:c>
      <x:c r="E8" s="101" t="n">
        <x:v>1982</x:v>
      </x:c>
      <x:c r="F8" s="101" t="str">
        <x:v>Historical foundation for conditional heteroskedasticity. Cite when motivating why return volatility is modelled dynamically rather than treated as constant.</x:v>
      </x:c>
      <x:c r="G8" s="101" t="str">
        <x:v>https://doi.org/10.2307/1912773</x:v>
      </x:c>
      <x:c r="H8" s="101" t="str">
        <x:v>To verify</x:v>
      </x:c>
    </x:row>
    <x:row r="9" ht="48" customHeight="1">
      <x:c r="A9" s="101" t="n">
        <x:v>2</x:v>
      </x:c>
      <x:c r="B9" s="101" t="str">
        <x:v>Core</x:v>
      </x:c>
      <x:c r="C9" s="101" t="str">
        <x:v>GARCH foundations</x:v>
      </x:c>
      <x:c r="D9" s="101" t="str">
        <x:v>Generalized Autoregressive Conditional Heteroskedasticity</x:v>
      </x:c>
      <x:c r="E9" s="101" t="n">
        <x:v>1986</x:v>
      </x:c>
      <x:c r="F9" s="101" t="str">
        <x:v>Baseline model architecture and persistence benchmark; motivates the daily-return volatility component used before GJR/EVT refinements.</x:v>
      </x:c>
      <x:c r="G9" s="101" t="str">
        <x:v>https://doi.org/10.1016/0304-4076(86)90063-1</x:v>
      </x:c>
      <x:c r="H9" s="101" t="str">
        <x:v>To verify</x:v>
      </x:c>
    </x:row>
    <x:row r="10" ht="48" customHeight="1">
      <x:c r="A10" s="101" t="n">
        <x:v>3</x:v>
      </x:c>
      <x:c r="B10" s="101" t="str">
        <x:v>Core</x:v>
      </x:c>
      <x:c r="C10" s="101" t="str">
        <x:v>Asymmetric GARCH</x:v>
      </x:c>
      <x:c r="D10" s="101" t="str">
        <x:v>Conditional Heteroskedasticity in Asset Returns: A New Approach</x:v>
      </x:c>
      <x:c r="E10" s="101" t="n">
        <x:v>1991</x:v>
      </x:c>
      <x:c r="F10" s="101" t="str">
        <x:v>Justifies EGARCH as the main asymmetric comparator to GJR in the baseline model-selection exercise.</x:v>
      </x:c>
      <x:c r="G10" s="101" t="str">
        <x:v>https://doi.org/10.2307/2938260</x:v>
      </x:c>
      <x:c r="H10" s="101" t="str">
        <x:v>To verify</x:v>
      </x:c>
    </x:row>
    <x:row r="11" ht="48" customHeight="1">
      <x:c r="A11" s="101" t="n">
        <x:v>4</x:v>
      </x:c>
      <x:c r="B11" s="101" t="str">
        <x:v>Core</x:v>
      </x:c>
      <x:c r="C11" s="101" t="str">
        <x:v>Asymmetric GARCH</x:v>
      </x:c>
      <x:c r="D11" s="101" t="str">
        <x:v>On the Relation between the Expected Value and the Volatility of the Nominal Excess Return on Stocks</x:v>
      </x:c>
      <x:c r="E11" s="101" t="n">
        <x:v>1993</x:v>
      </x:c>
      <x:c r="F11" s="101" t="str">
        <x:v>Direct theoretical basis for the project's primary GJR variance filter.</x:v>
      </x:c>
      <x:c r="G11" s="101" t="str">
        <x:v>https://doi.org/10.1111/j.1540-6261.1993.tb05128.x</x:v>
      </x:c>
      <x:c r="H11" s="101" t="str">
        <x:v>To verify</x:v>
      </x:c>
    </x:row>
    <x:row r="12" ht="48" customHeight="1">
      <x:c r="A12" s="101" t="n">
        <x:v>5</x:v>
      </x:c>
      <x:c r="B12" s="101" t="str">
        <x:v>Core</x:v>
      </x:c>
      <x:c r="C12" s="101" t="str">
        <x:v>Asymmetric GARCH</x:v>
      </x:c>
      <x:c r="D12" s="101" t="str">
        <x:v>Measuring and Testing the Impact of News on Volatility</x:v>
      </x:c>
      <x:c r="E12" s="101" t="n">
        <x:v>1993</x:v>
      </x:c>
      <x:c r="F12" s="101" t="str">
        <x:v>Direct justification for the project's Engle–Ng diagnostics and for selecting an asymmetric GJR filter before EVT.</x:v>
      </x:c>
      <x:c r="G12" s="101" t="str">
        <x:v>https://doi.org/10.1111/j.1540-6261.1993.tb05127.x</x:v>
      </x:c>
      <x:c r="H12" s="101" t="str">
        <x:v>To verify</x:v>
      </x:c>
    </x:row>
    <x:row r="13" ht="48" customHeight="1">
      <x:c r="A13" s="101" t="n">
        <x:v>6</x:v>
      </x:c>
      <x:c r="B13" s="101" t="str">
        <x:v>Core</x:v>
      </x:c>
      <x:c r="C13" s="101" t="str">
        <x:v>Heavy-tailed GARCH</x:v>
      </x:c>
      <x:c r="D13" s="101" t="str">
        <x:v>Autoregressive Conditional Density Estimation</x:v>
      </x:c>
      <x:c r="E13" s="101" t="n">
        <x:v>1994</x:v>
      </x:c>
      <x:c r="F13" s="101" t="str">
        <x:v>Methodological basis for the project's skew-t innovation benchmark, which is intentionally stronger than Gaussian or symmetric-t GARCH.</x:v>
      </x:c>
      <x:c r="G13" s="101" t="str">
        <x:v>https://doi.org/10.2307/2527081</x:v>
      </x:c>
      <x:c r="H13" s="101" t="str">
        <x:v>To verify</x:v>
      </x:c>
    </x:row>
    <x:row r="14" ht="48" customHeight="1">
      <x:c r="A14" s="101" t="n">
        <x:v>7</x:v>
      </x:c>
      <x:c r="B14" s="101" t="str">
        <x:v>Core</x:v>
      </x:c>
      <x:c r="C14" s="101" t="str">
        <x:v>Volatility forecasting overview</x:v>
      </x:c>
      <x:c r="D14" s="101" t="str">
        <x:v>Forecasting Volatility in Financial Markets: A Review</x:v>
      </x:c>
      <x:c r="E14" s="101" t="n">
        <x:v>2003</x:v>
      </x:c>
      <x:c r="F14" s="101" t="str">
        <x:v>Useful framing source for distinguishing model fit from genuine out-of-sample forecast accuracy.</x:v>
      </x:c>
      <x:c r="G14" s="101" t="str">
        <x:v>https://doi.org/10.1257/002205103765762743</x:v>
      </x:c>
      <x:c r="H14" s="101" t="str">
        <x:v>To verify</x:v>
      </x:c>
    </x:row>
    <x:row r="15" ht="48" customHeight="1">
      <x:c r="A15" s="101" t="n">
        <x:v>8</x:v>
      </x:c>
      <x:c r="B15" s="101" t="str">
        <x:v>Core</x:v>
      </x:c>
      <x:c r="C15" s="101" t="str">
        <x:v>EVT foundations</x:v>
      </x:c>
      <x:c r="D15" s="101" t="str">
        <x:v>Residual Life Time at Great Age</x:v>
      </x:c>
      <x:c r="E15" s="101" t="n">
        <x:v>1974</x:v>
      </x:c>
      <x:c r="F15" s="101" t="str">
        <x:v>Mathematical justification for using the GPD in the project's POT tail stage.</x:v>
      </x:c>
      <x:c r="G15" s="101" t="str">
        <x:v>https://doi.org/10.1214/aop/1176996548</x:v>
      </x:c>
      <x:c r="H15" s="101" t="str">
        <x:v>To verify</x:v>
      </x:c>
    </x:row>
    <x:row r="16" ht="48" customHeight="1">
      <x:c r="A16" s="101" t="n">
        <x:v>9</x:v>
      </x:c>
      <x:c r="B16" s="101" t="str">
        <x:v>Core</x:v>
      </x:c>
      <x:c r="C16" s="101" t="str">
        <x:v>EVT foundations</x:v>
      </x:c>
      <x:c r="D16" s="101" t="str">
        <x:v>Statistical Inference Using Extreme Order Statistics</x:v>
      </x:c>
      <x:c r="E16" s="101" t="n">
        <x:v>1975</x:v>
      </x:c>
      <x:c r="F16" s="101" t="str">
        <x:v>Theoretical foundation for POT/GPD; cite alongside Balkema–de Haan.</x:v>
      </x:c>
      <x:c r="G16" s="101" t="str">
        <x:v>https://doi.org/10.1214/aos/1176343003</x:v>
      </x:c>
      <x:c r="H16" s="101" t="str">
        <x:v>To verify</x:v>
      </x:c>
    </x:row>
    <x:row r="17" ht="48" customHeight="1">
      <x:c r="A17" s="101" t="n">
        <x:v>10</x:v>
      </x:c>
      <x:c r="B17" s="101" t="str">
        <x:v>Supporting</x:v>
      </x:c>
      <x:c r="C17" s="101" t="str">
        <x:v>EVT diagnostics</x:v>
      </x:c>
      <x:c r="D17" s="101" t="str">
        <x:v>A Simple General Approach to Inference About the Tail of a Distribution</x:v>
      </x:c>
      <x:c r="E17" s="101" t="n">
        <x:v>1975</x:v>
      </x:c>
      <x:c r="F17" s="101" t="str">
        <x:v>Supports the project's Hill-type tail diagnostics and the interpretation of residual heavy tails.</x:v>
      </x:c>
      <x:c r="G17" s="101" t="str">
        <x:v>https://doi.org/10.1214/aos/1176343247</x:v>
      </x:c>
      <x:c r="H17" s="101" t="str">
        <x:v>To verify</x:v>
      </x:c>
    </x:row>
    <x:row r="18" ht="48" customHeight="1">
      <x:c r="A18" s="101" t="n">
        <x:v>11</x:v>
      </x:c>
      <x:c r="B18" s="101" t="str">
        <x:v>Core</x:v>
      </x:c>
      <x:c r="C18" s="101" t="str">
        <x:v>EVT methodology</x:v>
      </x:c>
      <x:c r="D18" s="101" t="str">
        <x:v>Models for Exceedances over High Thresholds</x:v>
      </x:c>
      <x:c r="E18" s="101" t="n">
        <x:v>1990</x:v>
      </x:c>
      <x:c r="F18" s="101" t="str">
        <x:v>Key source for threshold diagnostics and for adding an exceedance-independence/declustering check in the project.</x:v>
      </x:c>
      <x:c r="G18" s="101" t="str">
        <x:v>https://doi.org/10.1111/j.2517-6161.1990.tb01796.x</x:v>
      </x:c>
      <x:c r="H18" s="101" t="str">
        <x:v>To verify</x:v>
      </x:c>
    </x:row>
    <x:row r="19" ht="48" customHeight="1">
      <x:c r="A19" s="101" t="n">
        <x:v>12</x:v>
      </x:c>
      <x:c r="B19" s="101" t="str">
        <x:v>Core</x:v>
      </x:c>
      <x:c r="C19" s="101" t="str">
        <x:v>GARCH-EVT</x:v>
      </x:c>
      <x:c r="D19" s="101" t="str">
        <x:v>Estimation of tail-related risk measures for heteroscedastic financial time series: an extreme value approach</x:v>
      </x:c>
      <x:c r="E19" s="101" t="n">
        <x:v>2000</x:v>
      </x:c>
      <x:c r="F19" s="101" t="str">
        <x:v>Governing methodological paper for the project's causal GJR-GARCH + POT/GPD VaR/ES model.</x:v>
      </x:c>
      <x:c r="G19" s="101" t="str">
        <x:v>https://doi.org/10.1016/S0927-5398(00)00012-8</x:v>
      </x:c>
      <x:c r="H19" s="101" t="str">
        <x:v>To verify</x:v>
      </x:c>
    </x:row>
    <x:row r="20" ht="48" customHeight="1">
      <x:c r="A20" s="101" t="n">
        <x:v>13</x:v>
      </x:c>
      <x:c r="B20" s="101" t="str">
        <x:v>Core</x:v>
      </x:c>
      <x:c r="C20" s="101" t="str">
        <x:v>Comparative tail forecasting</x:v>
      </x:c>
      <x:c r="D20" s="101" t="str">
        <x:v>Value-at-Risk Prediction: A Comparison of Alternative Strategies</x:v>
      </x:c>
      <x:c r="E20" s="101" t="n">
        <x:v>2006</x:v>
      </x:c>
      <x:c r="F20" s="101" t="str">
        <x:v>Important comparator showing why GARCH-EVT has historically performed well, while our benchmark is stronger (GJR-skew-t).</x:v>
      </x:c>
      <x:c r="G20" s="101" t="str">
        <x:v>https://doi.org/10.1093/jjfinec/nbj002</x:v>
      </x:c>
      <x:c r="H20" s="101" t="str">
        <x:v>To verify</x:v>
      </x:c>
    </x:row>
    <x:row r="21" ht="48" customHeight="1">
      <x:c r="A21" s="101" t="n">
        <x:v>14</x:v>
      </x:c>
      <x:c r="B21" s="101" t="str">
        <x:v>Core</x:v>
      </x:c>
      <x:c r="C21" s="101" t="str">
        <x:v>GARCH-EVT diagnostics</x:v>
      </x:c>
      <x:c r="D21" s="101" t="str">
        <x:v>Predicting tail-related risk measures: The consequences of using GARCH filters for non-GARCH data</x:v>
      </x:c>
      <x:c r="E21" s="101" t="n">
        <x:v>2008</x:v>
      </x:c>
      <x:c r="F21" s="101" t="str">
        <x:v>Direct justification for checking residual and squared-residual dependence before trusting the project's EVT stage.</x:v>
      </x:c>
      <x:c r="G21" s="101" t="str">
        <x:v>https://doi.org/10.1016/j.jempfin.2008.02.004</x:v>
      </x:c>
      <x:c r="H21" s="101" t="str">
        <x:v>To verify</x:v>
      </x:c>
    </x:row>
    <x:row r="22" ht="48" customHeight="1">
      <x:c r="A22" s="101" t="n">
        <x:v>15</x:v>
      </x:c>
      <x:c r="B22" s="101" t="str">
        <x:v>Core</x:v>
      </x:c>
      <x:c r="C22" s="101" t="str">
        <x:v>Extreme-event dynamics</x:v>
      </x:c>
      <x:c r="D22" s="101" t="str">
        <x:v>Can Volatility Models Explain Extreme Events?</x:v>
      </x:c>
      <x:c r="E22" s="101" t="n">
        <x:v>2018</x:v>
      </x:c>
      <x:c r="F22" s="101" t="str">
        <x:v>Strong motivation for testing POT exceedance clustering, especially after observing possible HSI tail dependence.</x:v>
      </x:c>
      <x:c r="G22" s="101" t="str">
        <x:v>https://doi.org/10.1093/jjfinec/nbx031</x:v>
      </x:c>
      <x:c r="H22" s="101" t="str">
        <x:v>To verify</x:v>
      </x:c>
    </x:row>
    <x:row r="23" ht="48" customHeight="1">
      <x:c r="A23" s="101" t="n">
        <x:v>16</x:v>
      </x:c>
      <x:c r="B23" s="101" t="str">
        <x:v>Comparator</x:v>
      </x:c>
      <x:c r="C23" s="101" t="str">
        <x:v>Realized + EVT</x:v>
      </x:c>
      <x:c r="D23" s="101" t="str">
        <x:v>Realizing the extremes: Estimation of tail-risk measures from a high-frequency perspective</x:v>
      </x:c>
      <x:c r="E23" s="101" t="n">
        <x:v>2016</x:v>
      </x:c>
      <x:c r="F23" s="101" t="str">
        <x:v>Shows that realized information can enter the filtering stage before EVT; useful future-extension context for Realized-GARCH-EVT.</x:v>
      </x:c>
      <x:c r="G23" s="101" t="str">
        <x:v>https://doi.org/10.1016/j.jempfin.2016.01.006</x:v>
      </x:c>
      <x:c r="H23" s="101" t="str">
        <x:v>To verify</x:v>
      </x:c>
    </x:row>
    <x:row r="24" ht="48" customHeight="1">
      <x:c r="A24" s="101" t="n">
        <x:v>17</x:v>
      </x:c>
      <x:c r="B24" s="101" t="str">
        <x:v>Comparator</x:v>
      </x:c>
      <x:c r="C24" s="101" t="str">
        <x:v>Modern EVT</x:v>
      </x:c>
      <x:c r="D24" s="101" t="str">
        <x:v>Forecasting tail risk measures for financial time series: An extreme value approach with covariates</x:v>
      </x:c>
      <x:c r="E24" s="101" t="n">
        <x:v>2023</x:v>
      </x:c>
      <x:c r="F24" s="101" t="str">
        <x:v>Important caveat that modern EVT can also exploit exogenous information; QR is not uniquely capable of using predictors.</x:v>
      </x:c>
      <x:c r="G24" s="101" t="str">
        <x:v>https://doi.org/10.1016/j.jempfin.2023.01.002</x:v>
      </x:c>
      <x:c r="H24" s="101" t="str">
        <x:v>To verify</x:v>
      </x:c>
    </x:row>
    <x:row r="25" ht="48" customHeight="1">
      <x:c r="A25" s="101" t="n">
        <x:v>18</x:v>
      </x:c>
      <x:c r="B25" s="101" t="str">
        <x:v>Core</x:v>
      </x:c>
      <x:c r="C25" s="101" t="str">
        <x:v>Realized volatility foundations</x:v>
      </x:c>
      <x:c r="D25" s="101" t="str">
        <x:v>Answering the Skeptics: Yes, Standard Volatility Models Do Provide Accurate Forecasts</x:v>
      </x:c>
      <x:c r="E25" s="101" t="n">
        <x:v>1998</x:v>
      </x:c>
      <x:c r="F25" s="101" t="str">
        <x:v>Core justification for evaluating variance forecasts against realized measures rather than squared daily returns.</x:v>
      </x:c>
      <x:c r="G25" s="101" t="str">
        <x:v>https://doi.org/10.2307/2527343</x:v>
      </x:c>
      <x:c r="H25" s="101" t="str">
        <x:v>To verify</x:v>
      </x:c>
    </x:row>
    <x:row r="26" ht="48" customHeight="1">
      <x:c r="A26" s="101" t="n">
        <x:v>19</x:v>
      </x:c>
      <x:c r="B26" s="101" t="str">
        <x:v>Core</x:v>
      </x:c>
      <x:c r="C26" s="101" t="str">
        <x:v>Realized volatility foundations</x:v>
      </x:c>
      <x:c r="D26" s="101" t="str">
        <x:v>Modeling and Forecasting Realized Volatility</x:v>
      </x:c>
      <x:c r="E26" s="101" t="n">
        <x:v>2003</x:v>
      </x:c>
      <x:c r="F26" s="101" t="str">
        <x:v>Primary theoretical/empirical foundation for the project's intraday RV construction.</x:v>
      </x:c>
      <x:c r="G26" s="101" t="str">
        <x:v>https://doi.org/10.1111/1468-0262.00418</x:v>
      </x:c>
      <x:c r="H26" s="101" t="str">
        <x:v>To verify</x:v>
      </x:c>
    </x:row>
    <x:row r="27" ht="48" customHeight="1">
      <x:c r="A27" s="101" t="n">
        <x:v>20</x:v>
      </x:c>
      <x:c r="B27" s="101" t="str">
        <x:v>Core</x:v>
      </x:c>
      <x:c r="C27" s="101" t="str">
        <x:v>High-frequency measurement</x:v>
      </x:c>
      <x:c r="D27" s="101" t="str">
        <x:v>A Tale of Two Time Scales: Determining Integrated Volatility with Noisy High-Frequency Data</x:v>
      </x:c>
      <x:c r="E27" s="101" t="n">
        <x:v>2005</x:v>
      </x:c>
      <x:c r="F27" s="101" t="str">
        <x:v>Justifies the project's frequency-sensitivity exercise and the need to implement any 'subsampled RV' claim correctly.</x:v>
      </x:c>
      <x:c r="G27" s="101" t="str">
        <x:v>https://doi.org/10.1198/016214505000000169</x:v>
      </x:c>
      <x:c r="H27" s="101" t="str">
        <x:v>To verify</x:v>
      </x:c>
    </x:row>
    <x:row r="28" ht="48" customHeight="1">
      <x:c r="A28" s="101" t="n">
        <x:v>21</x:v>
      </x:c>
      <x:c r="B28" s="101" t="str">
        <x:v>Supporting</x:v>
      </x:c>
      <x:c r="C28" s="101" t="str">
        <x:v>High-frequency measurement</x:v>
      </x:c>
      <x:c r="D28" s="101" t="str">
        <x:v>Designing Realized Kernels to Measure the ex post Variation of Equity Prices in the Presence of Noise</x:v>
      </x:c>
      <x:c r="E28" s="101" t="n">
        <x:v>2008</x:v>
      </x:c>
      <x:c r="F28" s="101" t="str">
        <x:v>Benchmark robust realized measure; useful when discussing why plain 5-minute RV is supplemented by frequency/robustness checks.</x:v>
      </x:c>
      <x:c r="G28" s="101" t="str">
        <x:v>https://doi.org/10.3982/ECTA6495</x:v>
      </x:c>
      <x:c r="H28" s="101" t="str">
        <x:v>To verify</x:v>
      </x:c>
    </x:row>
    <x:row r="29" ht="48" customHeight="1">
      <x:c r="A29" s="101" t="n">
        <x:v>22</x:v>
      </x:c>
      <x:c r="B29" s="101" t="str">
        <x:v>Core</x:v>
      </x:c>
      <x:c r="C29" s="101" t="str">
        <x:v>Volatility evaluation</x:v>
      </x:c>
      <x:c r="D29" s="101" t="str">
        <x:v>Correcting the Errors: Volatility Forecast Evaluation Using High-Frequency Data and Realized Volatilities</x:v>
      </x:c>
      <x:c r="E29" s="101" t="n">
        <x:v>2005</x:v>
      </x:c>
      <x:c r="F29" s="101" t="str">
        <x:v>Supports careful interpretation of RVProxy as an imperfect but much better volatility benchmark.</x:v>
      </x:c>
      <x:c r="G29" s="101" t="str">
        <x:v>https://doi.org/10.1111/j.1468-0262.2005.00572.x</x:v>
      </x:c>
      <x:c r="H29" s="101" t="str">
        <x:v>To verify</x:v>
      </x:c>
    </x:row>
    <x:row r="30" ht="48" customHeight="1">
      <x:c r="A30" s="101" t="n">
        <x:v>23</x:v>
      </x:c>
      <x:c r="B30" s="101" t="str">
        <x:v>Core</x:v>
      </x:c>
      <x:c r="C30" s="101" t="str">
        <x:v>Volatility evaluation</x:v>
      </x:c>
      <x:c r="D30" s="101" t="str">
        <x:v>Consistent Ranking of Volatility Models</x:v>
      </x:c>
      <x:c r="E30" s="101" t="n">
        <x:v>2006</x:v>
      </x:c>
      <x:c r="F30" s="101" t="str">
        <x:v>Direct justification for using realized variance rather than squared returns when comparing GJR and Realized GARCH.</x:v>
      </x:c>
      <x:c r="G30" s="101" t="str">
        <x:v>https://doi.org/10.1016/j.jeconom.2005.01.005</x:v>
      </x:c>
      <x:c r="H30" s="101" t="str">
        <x:v>To verify</x:v>
      </x:c>
    </x:row>
    <x:row r="31" ht="48" customHeight="1">
      <x:c r="A31" s="101" t="n">
        <x:v>24</x:v>
      </x:c>
      <x:c r="B31" s="101" t="str">
        <x:v>Core</x:v>
      </x:c>
      <x:c r="C31" s="101" t="str">
        <x:v>High-frequency measurement</x:v>
      </x:c>
      <x:c r="D31" s="101" t="str">
        <x:v>Does Anything Beat 5-Minute RV? A Comparison of Realized Measures Across Multiple Asset Classes</x:v>
      </x:c>
      <x:c r="E31" s="101" t="n">
        <x:v>2015</x:v>
      </x:c>
      <x:c r="F31" s="101" t="str">
        <x:v>Strong direct support for keeping 5-minute RV as the project's primary realized measure while using robust alternatives as sensitivity checks.</x:v>
      </x:c>
      <x:c r="G31" s="101" t="str">
        <x:v>https://doi.org/10.1016/j.jeconom.2015.02.008</x:v>
      </x:c>
      <x:c r="H31" s="101" t="str">
        <x:v>To verify</x:v>
      </x:c>
    </x:row>
    <x:row r="32" ht="48" customHeight="1">
      <x:c r="A32" s="101" t="n">
        <x:v>25</x:v>
      </x:c>
      <x:c r="B32" s="101" t="str">
        <x:v>Supporting</x:v>
      </x:c>
      <x:c r="C32" s="101" t="str">
        <x:v>Realized-measure features</x:v>
      </x:c>
      <x:c r="D32" s="101" t="str">
        <x:v>Power and Bipower Variation with Stochastic Volatility and Jumps</x:v>
      </x:c>
      <x:c r="E32" s="101" t="n">
        <x:v>2004</x:v>
      </x:c>
      <x:c r="F32" s="101" t="str">
        <x:v>Theoretical basis for BPV, continuous variation and jump-share features in the analysis/QR feature set.</x:v>
      </x:c>
      <x:c r="G32" s="101" t="str">
        <x:v>https://doi.org/10.1093/jjfinec/nbh001</x:v>
      </x:c>
      <x:c r="H32" s="101" t="str">
        <x:v>To verify</x:v>
      </x:c>
    </x:row>
    <x:row r="33" ht="48" customHeight="1">
      <x:c r="A33" s="101" t="n">
        <x:v>26</x:v>
      </x:c>
      <x:c r="B33" s="101" t="str">
        <x:v>Supporting</x:v>
      </x:c>
      <x:c r="C33" s="101" t="str">
        <x:v>Realized-measure features</x:v>
      </x:c>
      <x:c r="D33" s="101" t="str">
        <x:v>Measuring Downside Risk: Realised Semivariance</x:v>
      </x:c>
      <x:c r="E33" s="101" t="n">
        <x:v>2010</x:v>
      </x:c>
      <x:c r="F33" s="101" t="str">
        <x:v>Direct foundation for RS_pos, RS_neg and RSV_Ratio features used to capture asymmetric intraday variation.</x:v>
      </x:c>
      <x:c r="G33" s="101" t="str">
        <x:v>https://www.nuffield.ox.ac.uk/economics/papers/2008/w2/downside.pdf</x:v>
      </x:c>
      <x:c r="H33" s="101" t="str">
        <x:v>To verify</x:v>
      </x:c>
    </x:row>
    <x:row r="34" ht="48" customHeight="1">
      <x:c r="A34" s="101" t="n">
        <x:v>27</x:v>
      </x:c>
      <x:c r="B34" s="101" t="str">
        <x:v>Supporting</x:v>
      </x:c>
      <x:c r="C34" s="101" t="str">
        <x:v>Realized-measure features</x:v>
      </x:c>
      <x:c r="D34" s="101" t="str">
        <x:v>Jump-Robust Volatility Estimation Using Nearest Neighbor Truncation</x:v>
      </x:c>
      <x:c r="E34" s="101" t="n">
        <x:v>2012</x:v>
      </x:c>
      <x:c r="F34" s="101" t="str">
        <x:v>Supports MedRV robustness and the recent literature showing MedRV can improve joint VaR–ES models.</x:v>
      </x:c>
      <x:c r="G34" s="101" t="str">
        <x:v>https://doi.org/10.1016/j.jeconom.2012.01.011</x:v>
      </x:c>
      <x:c r="H34" s="101" t="str">
        <x:v>To verify</x:v>
      </x:c>
    </x:row>
    <x:row r="35" ht="48" customHeight="1">
      <x:c r="A35" s="101" t="n">
        <x:v>28</x:v>
      </x:c>
      <x:c r="B35" s="101" t="str">
        <x:v>Core</x:v>
      </x:c>
      <x:c r="C35" s="101" t="str">
        <x:v>Realized-volatility dynamics</x:v>
      </x:c>
      <x:c r="D35" s="101" t="str">
        <x:v>A Simple Approximate Long-Memory Model of Realized Volatility</x:v>
      </x:c>
      <x:c r="E35" s="101" t="n">
        <x:v>2009</x:v>
      </x:c>
      <x:c r="F35" s="101" t="str">
        <x:v>Theoretical basis for LogRV, LogRV_w and LogRV_m predictor blocks and for discussing multiple volatility horizons.</x:v>
      </x:c>
      <x:c r="G35" s="101" t="str">
        <x:v>https://doi.org/10.1093/jjfinec/nbp001</x:v>
      </x:c>
      <x:c r="H35" s="101" t="str">
        <x:v>To verify</x:v>
      </x:c>
    </x:row>
    <x:row r="36" ht="48" customHeight="1">
      <x:c r="A36" s="101" t="n">
        <x:v>29</x:v>
      </x:c>
      <x:c r="B36" s="101" t="str">
        <x:v>Core</x:v>
      </x:c>
      <x:c r="C36" s="101" t="str">
        <x:v>Realized GARCH</x:v>
      </x:c>
      <x:c r="D36" s="101" t="str">
        <x:v>Realized GARCH: A Joint Model for Returns and Realized Measures of Volatility</x:v>
      </x:c>
      <x:c r="E36" s="101" t="n">
        <x:v>2012</x:v>
      </x:c>
      <x:c r="F36" s="101" t="str">
        <x:v>Governing paper for the project's log-linear Realized GARCH system and measurement leverage terms.</x:v>
      </x:c>
      <x:c r="G36" s="101" t="str">
        <x:v>https://doi.org/10.1002/jae.1234</x:v>
      </x:c>
      <x:c r="H36" s="101" t="str">
        <x:v>To verify</x:v>
      </x:c>
    </x:row>
    <x:row r="37" ht="48" customHeight="1">
      <x:c r="A37" s="101" t="n">
        <x:v>30</x:v>
      </x:c>
      <x:c r="B37" s="101" t="str">
        <x:v>Supporting</x:v>
      </x:c>
      <x:c r="C37" s="101" t="str">
        <x:v>Realized-volatility models</x:v>
      </x:c>
      <x:c r="D37" s="101" t="str">
        <x:v>Realising the Future: Forecasting with High-Frequency-Based Volatility (HEAVY) Models</x:v>
      </x:c>
      <x:c r="E37" s="101" t="n">
        <x:v>2010</x:v>
      </x:c>
      <x:c r="F37" s="101" t="str">
        <x:v>Useful context for the project's NKY missing-RV problem and the broader benefit/cost of relying on a high-frequency measurement stream.</x:v>
      </x:c>
      <x:c r="G37" s="101" t="str">
        <x:v>https://doi.org/10.1002/jae.1158</x:v>
      </x:c>
      <x:c r="H37" s="101" t="str">
        <x:v>To verify</x:v>
      </x:c>
    </x:row>
    <x:row r="38" ht="48" customHeight="1">
      <x:c r="A38" s="101" t="n">
        <x:v>31</x:v>
      </x:c>
      <x:c r="B38" s="101" t="str">
        <x:v>Core</x:v>
      </x:c>
      <x:c r="C38" s="101" t="str">
        <x:v>Realized GARCH tail risk</x:v>
      </x:c>
      <x:c r="D38" s="101" t="str">
        <x:v>Quantile Forecasts of Financial Returns Using Realized GARCH Models</x:v>
      </x:c>
      <x:c r="E38" s="101" t="n">
        <x:v>2012</x:v>
      </x:c>
      <x:c r="F38" s="101" t="str">
        <x:v>Crucial robustness precedent: directly motivates testing RealGARCH-skew-t because the current project uses symmetric Student-t and retains negative residual skew.</x:v>
      </x:c>
      <x:c r="G38" s="101" t="str">
        <x:v>https://doi.org/10.1111/j.1468-5876.2011.00548.x</x:v>
      </x:c>
      <x:c r="H38" s="101" t="str">
        <x:v>To verify</x:v>
      </x:c>
    </x:row>
    <x:row r="39" ht="48" customHeight="1">
      <x:c r="A39" s="101" t="n">
        <x:v>32</x:v>
      </x:c>
      <x:c r="B39" s="101" t="str">
        <x:v>Core</x:v>
      </x:c>
      <x:c r="C39" s="101" t="str">
        <x:v>Comparative realized tail risk</x:v>
      </x:c>
      <x:c r="D39" s="101" t="str">
        <x:v>Modelling Daily Value-at-Risk Using Realized Volatility and ARCH Type Models</x:v>
      </x:c>
      <x:c r="E39" s="101" t="n">
        <x:v>2004</x:v>
      </x:c>
      <x:c r="F39" s="101" t="str">
        <x:v>Very close conceptual precedent for our likely finding that better volatility information does not automatically imply better 1% VaR.</x:v>
      </x:c>
      <x:c r="G39" s="101" t="str">
        <x:v>https://doi.org/10.1016/j.jempfin.2003.04.003</x:v>
      </x:c>
      <x:c r="H39" s="101" t="str">
        <x:v>To verify</x:v>
      </x:c>
    </x:row>
    <x:row r="40" ht="48" customHeight="1">
      <x:c r="A40" s="101" t="n">
        <x:v>33</x:v>
      </x:c>
      <x:c r="B40" s="101" t="str">
        <x:v>Core</x:v>
      </x:c>
      <x:c r="C40" s="101" t="str">
        <x:v>Comparative tail forecasting</x:v>
      </x:c>
      <x:c r="D40" s="101" t="str">
        <x:v>Realized Volatility Models and Alternative Value-at-Risk Prediction Strategies</x:v>
      </x:c>
      <x:c r="E40" s="101" t="n">
        <x:v>2014</x:v>
      </x:c>
      <x:c r="F40" s="101" t="str">
        <x:v>Strong supporting evidence for the project's central distinction between variance-model quality and quantile/tail specification.</x:v>
      </x:c>
      <x:c r="G40" s="101" t="str">
        <x:v>https://doi.org/10.1016/j.econmod.2014.03.025</x:v>
      </x:c>
      <x:c r="H40" s="101" t="str">
        <x:v>To verify</x:v>
      </x:c>
    </x:row>
    <x:row r="41" ht="48" customHeight="1">
      <x:c r="A41" s="101" t="n">
        <x:v>34</x:v>
      </x:c>
      <x:c r="B41" s="101" t="str">
        <x:v>Core</x:v>
      </x:c>
      <x:c r="C41" s="101" t="str">
        <x:v>Quantile regression</x:v>
      </x:c>
      <x:c r="D41" s="101" t="str">
        <x:v>Regression Quantiles</x:v>
      </x:c>
      <x:c r="E41" s="101" t="n">
        <x:v>1978</x:v>
      </x:c>
      <x:c r="F41" s="101" t="str">
        <x:v>Foundational source for the project's direct conditional-quantile modelling philosophy.</x:v>
      </x:c>
      <x:c r="G41" s="101" t="str">
        <x:v>https://doi.org/10.2307/1913643</x:v>
      </x:c>
      <x:c r="H41" s="101" t="str">
        <x:v>To verify</x:v>
      </x:c>
    </x:row>
    <x:row r="42" ht="48" customHeight="1">
      <x:c r="A42" s="101" t="n">
        <x:v>35</x:v>
      </x:c>
      <x:c r="B42" s="101" t="str">
        <x:v>Core</x:v>
      </x:c>
      <x:c r="C42" s="101" t="str">
        <x:v>Dynamic tail quantiles</x:v>
      </x:c>
      <x:c r="D42" s="101" t="str">
        <x:v>CAViaR: Conditional Autoregressive Value at Risk by Regression Quantiles</x:v>
      </x:c>
      <x:c r="E42" s="101" t="n">
        <x:v>2004</x:v>
      </x:c>
      <x:c r="F42" s="101" t="str">
        <x:v>Core financial-QR source and theoretical basis for including the DQ test in project evaluation.</x:v>
      </x:c>
      <x:c r="G42" s="101" t="str">
        <x:v>https://doi.org/10.1198/073500104000000370</x:v>
      </x:c>
      <x:c r="H42" s="101" t="str">
        <x:v>To verify</x:v>
      </x:c>
    </x:row>
    <x:row r="43" ht="48" customHeight="1">
      <x:c r="A43" s="101" t="n">
        <x:v>36</x:v>
      </x:c>
      <x:c r="B43" s="101" t="str">
        <x:v>Core</x:v>
      </x:c>
      <x:c r="C43" s="101" t="str">
        <x:v>QR with realized information</x:v>
      </x:c>
      <x:c r="D43" s="101" t="str">
        <x:v>Semi-parametric Conditional Quantile Models for Financial Returns and Realized Volatility</x:v>
      </x:c>
      <x:c r="E43" s="101" t="n">
        <x:v>2016</x:v>
      </x:c>
      <x:c r="F43" s="101" t="str">
        <x:v>Probably the closest foundation for QR-Full feature blocks: RV, semivariance, jumps and implied volatility.</x:v>
      </x:c>
      <x:c r="G43" s="101" t="str">
        <x:v>https://doi.org/10.1093/jjfinec/nbu029</x:v>
      </x:c>
      <x:c r="H43" s="101" t="str">
        <x:v>To verify</x:v>
      </x:c>
    </x:row>
    <x:row r="44" ht="48" customHeight="1">
      <x:c r="A44" s="101" t="n">
        <x:v>37</x:v>
      </x:c>
      <x:c r="B44" s="101" t="str">
        <x:v>Core</x:v>
      </x:c>
      <x:c r="C44" s="101" t="str">
        <x:v>Hybrid closest literature</x:v>
      </x:c>
      <x:c r="D44" s="101" t="str">
        <x:v>Realized Extreme Quantile: A Joint Model for Conditional Quantiles and Measures of Volatility with EVT Refinements</x:v>
      </x:c>
      <x:c r="E44" s="101" t="n">
        <x:v>2018</x:v>
      </x:c>
      <x:c r="F44" s="101" t="str">
        <x:v>Prevents an incorrect novelty claim: realized measures, QR and EVT have already been combined in one model.</x:v>
      </x:c>
      <x:c r="G44" s="101" t="str">
        <x:v>https://doi.org/10.1002/jae.2615</x:v>
      </x:c>
      <x:c r="H44" s="101" t="str">
        <x:v>To verify</x:v>
      </x:c>
    </x:row>
    <x:row r="45" ht="48" customHeight="1">
      <x:c r="A45" s="101" t="n">
        <x:v>38</x:v>
      </x:c>
      <x:c r="B45" s="101" t="str">
        <x:v>Core</x:v>
      </x:c>
      <x:c r="C45" s="101" t="str">
        <x:v>Closest comparative literature</x:v>
      </x:c>
      <x:c r="D45" s="101" t="str">
        <x:v>Semi-parametric Dynamic Asymmetric Laplace Models for Tail Risk Forecasting, Incorporating Realized Measures</x:v>
      </x:c>
      <x:c r="E45" s="101" t="n">
        <x:v>2020</x:v>
      </x:c>
      <x:c r="F45" s="101" t="str">
        <x:v>One of the closest existing papers to the project's broad comparison; critical for keeping novelty claims cautious and empirical.</x:v>
      </x:c>
      <x:c r="G45" s="101" t="str">
        <x:v>https://doi.org/10.1016/j.ijforecast.2019.07.003</x:v>
      </x:c>
      <x:c r="H45" s="101" t="str">
        <x:v>To verify</x:v>
      </x:c>
    </x:row>
    <x:row r="46" ht="48" customHeight="1">
      <x:c r="A46" s="101" t="n">
        <x:v>39</x:v>
      </x:c>
      <x:c r="B46" s="101" t="str">
        <x:v>Core</x:v>
      </x:c>
      <x:c r="C46" s="101" t="str">
        <x:v>Closest comparative literature</x:v>
      </x:c>
      <x:c r="D46" s="101" t="str">
        <x:v>Improved VaR Forecasts Using Extreme Value Theory with the Realized GARCH Model</x:v>
      </x:c>
      <x:c r="E46" s="101" t="n">
        <x:v>2017</x:v>
      </x:c>
      <x:c r="F46" s="101" t="str">
        <x:v>Direct evidence that combining Realized GARCH and EVT is not novel; motivates treating it as a future extension rather than our contribution.</x:v>
      </x:c>
      <x:c r="G46" s="101" t="str">
        <x:v>https://doi.org/10.1108/SEF-05-2015-0139</x:v>
      </x:c>
      <x:c r="H46" s="101" t="str">
        <x:v>To verify</x:v>
      </x:c>
    </x:row>
    <x:row r="47" ht="48" customHeight="1">
      <x:c r="A47" s="101" t="n">
        <x:v>40</x:v>
      </x:c>
      <x:c r="B47" s="101" t="str">
        <x:v>Core</x:v>
      </x:c>
      <x:c r="C47" s="101" t="str">
        <x:v>Closest comparative literature</x:v>
      </x:c>
      <x:c r="D47" s="101" t="str">
        <x:v>Quantile Forecasts Using the Realized GARCH-EVT Approach</x:v>
      </x:c>
      <x:c r="E47" s="101" t="n">
        <x:v>2018</x:v>
      </x:c>
      <x:c r="F47" s="101" t="str">
        <x:v>Closest RealGARCH+EVT VaR/ES comparator and a reason to discuss realized-measure sensitivity explicitly.</x:v>
      </x:c>
      <x:c r="G47" s="101" t="str">
        <x:v>https://doi.org/10.1108/SEF-09-2016-0236</x:v>
      </x:c>
      <x:c r="H47" s="101" t="str">
        <x:v>To verify</x:v>
      </x:c>
    </x:row>
    <x:row r="48" ht="48" customHeight="1">
      <x:c r="A48" s="101" t="n">
        <x:v>41</x:v>
      </x:c>
      <x:c r="B48" s="101" t="str">
        <x:v>Core</x:v>
      </x:c>
      <x:c r="C48" s="101" t="str">
        <x:v>Recent realized tail risk</x:v>
      </x:c>
      <x:c r="D48" s="101" t="str">
        <x:v>Can Intraday Data Improve the Joint Estimation and Prediction of Risk Measures? Evidence from a Variety of Realized Measures</x:v>
      </x:c>
      <x:c r="E48" s="101" t="n">
        <x:v>2024</x:v>
      </x:c>
      <x:c r="F48" s="101" t="str">
        <x:v>Direct support for MedRV/BPV robustness and for using FZ0/MCS when comparing joint tail forecasts.</x:v>
      </x:c>
      <x:c r="G48" s="101" t="str">
        <x:v>https://doi.org/10.1002/for.3111</x:v>
      </x:c>
      <x:c r="H48" s="101" t="str">
        <x:v>To verify</x:v>
      </x:c>
    </x:row>
    <x:row r="49" ht="48" customHeight="1">
      <x:c r="A49" s="101" t="n">
        <x:v>42</x:v>
      </x:c>
      <x:c r="B49" s="101" t="str">
        <x:v>Core</x:v>
      </x:c>
      <x:c r="C49" s="101" t="str">
        <x:v>Recent realized tail risk</x:v>
      </x:c>
      <x:c r="D49" s="101" t="str">
        <x:v>Tail Risk Forecasting with Semiparametric Regression Models by Incorporating Overnight Information</x:v>
      </x:c>
      <x:c r="E49" s="101" t="n">
        <x:v>2024</x:v>
      </x:c>
      <x:c r="F49" s="101" t="str">
        <x:v>Direct justification for an overnight-information robustness specification, especially for NKY and other non-US sessions.</x:v>
      </x:c>
      <x:c r="G49" s="101" t="str">
        <x:v>https://doi.org/10.1002/for.3090</x:v>
      </x:c>
      <x:c r="H49" s="101" t="str">
        <x:v>To verify</x:v>
      </x:c>
    </x:row>
    <x:row r="50" ht="48" customHeight="1">
      <x:c r="A50" s="101" t="n">
        <x:v>43</x:v>
      </x:c>
      <x:c r="B50" s="101" t="str">
        <x:v>Supporting</x:v>
      </x:c>
      <x:c r="C50" s="101" t="str">
        <x:v>Implied-volatility predictors</x:v>
      </x:c>
      <x:c r="D50" s="101" t="str">
        <x:v>Forecasting S&amp;P 100 Volatility: The Incremental Information Content of Implied Volatilities and High-Frequency Index Returns</x:v>
      </x:c>
      <x:c r="E50" s="101" t="n">
        <x:v>2001</x:v>
      </x:c>
      <x:c r="F50" s="101" t="str">
        <x:v>Economic justification for LogIV as a forward-looking QR predictor and for distinguishing volatility prediction from VaR prediction.</x:v>
      </x:c>
      <x:c r="G50" s="101" t="str">
        <x:v>https://doi.org/10.1016/S0304-4076(01)00068-9</x:v>
      </x:c>
      <x:c r="H50" s="101" t="str">
        <x:v>To verify</x:v>
      </x:c>
    </x:row>
    <x:row r="51" ht="48" customHeight="1">
      <x:c r="A51" s="101" t="n">
        <x:v>44</x:v>
      </x:c>
      <x:c r="B51" s="101" t="str">
        <x:v>Supporting</x:v>
      </x:c>
      <x:c r="C51" s="101" t="str">
        <x:v>Implied-volatility predictors</x:v>
      </x:c>
      <x:c r="D51" s="101" t="str">
        <x:v>Expected Stock Returns and Variance Risk Premia</x:v>
      </x:c>
      <x:c r="E51" s="101" t="n">
        <x:v>2009</x:v>
      </x:c>
      <x:c r="F51" s="101" t="str">
        <x:v>Economic foundation for the project's VRP predictor rather than treating it as an arbitrary difference variable.</x:v>
      </x:c>
      <x:c r="G51" s="101" t="str">
        <x:v>https://doi.org/10.1093/rfs/hhp008</x:v>
      </x:c>
      <x:c r="H51" s="101" t="str">
        <x:v>To verify</x:v>
      </x:c>
    </x:row>
    <x:row r="52" ht="48" customHeight="1">
      <x:c r="A52" s="101" t="n">
        <x:v>45</x:v>
      </x:c>
      <x:c r="B52" s="101" t="str">
        <x:v>Supporting</x:v>
      </x:c>
      <x:c r="C52" s="101" t="str">
        <x:v>Range-based predictors</x:v>
      </x:c>
      <x:c r="D52" s="101" t="str">
        <x:v>The Extreme Value Method for Estimating the Variance of the Rate of Return</x:v>
      </x:c>
      <x:c r="E52" s="101" t="n">
        <x:v>1980</x:v>
      </x:c>
      <x:c r="F52" s="101" t="str">
        <x:v>Theoretical basis for ParkinsonVar in the QR-Range/fallback information set.</x:v>
      </x:c>
      <x:c r="G52" s="101" t="str">
        <x:v>https://doi.org/10.1086/296071</x:v>
      </x:c>
      <x:c r="H52" s="101" t="str">
        <x:v>To verify</x:v>
      </x:c>
    </x:row>
    <x:row r="53" ht="48" customHeight="1">
      <x:c r="A53" s="101" t="n">
        <x:v>46</x:v>
      </x:c>
      <x:c r="B53" s="101" t="str">
        <x:v>Supporting</x:v>
      </x:c>
      <x:c r="C53" s="101" t="str">
        <x:v>Range-based predictors</x:v>
      </x:c>
      <x:c r="D53" s="101" t="str">
        <x:v>On the Estimation of Security Price Volatilities from Historical Data</x:v>
      </x:c>
      <x:c r="E53" s="101" t="n">
        <x:v>1980</x:v>
      </x:c>
      <x:c r="F53" s="101" t="str">
        <x:v>Direct source for GarmanKlassVar and the project's range-only QR fallback.</x:v>
      </x:c>
      <x:c r="G53" s="101" t="str">
        <x:v>https://doi.org/10.1086/296072</x:v>
      </x:c>
      <x:c r="H53" s="101" t="str">
        <x:v>To verify</x:v>
      </x:c>
    </x:row>
    <x:row r="54" ht="48" customHeight="1">
      <x:c r="A54" s="101" t="n">
        <x:v>47</x:v>
      </x:c>
      <x:c r="B54" s="101" t="str">
        <x:v>Core</x:v>
      </x:c>
      <x:c r="C54" s="101" t="str">
        <x:v>Forecast evaluation</x:v>
      </x:c>
      <x:c r="D54" s="101" t="str">
        <x:v>Volatility Forecast Comparison Using Imperfect Volatility Proxies</x:v>
      </x:c>
      <x:c r="E54" s="101" t="n">
        <x:v>2011</x:v>
      </x:c>
      <x:c r="F54" s="101" t="str">
        <x:v>Primary methodological citation for making QLIKE the project's main variance loss.</x:v>
      </x:c>
      <x:c r="G54" s="101" t="str">
        <x:v>https://doi.org/10.1016/j.jeconom.2010.03.034</x:v>
      </x:c>
      <x:c r="H54" s="101" t="str">
        <x:v>To verify</x:v>
      </x:c>
    </x:row>
    <x:row r="55" ht="48" customHeight="1">
      <x:c r="A55" s="101" t="n">
        <x:v>48</x:v>
      </x:c>
      <x:c r="B55" s="101" t="str">
        <x:v>Core</x:v>
      </x:c>
      <x:c r="C55" s="101" t="str">
        <x:v>Forecast evaluation</x:v>
      </x:c>
      <x:c r="D55" s="101" t="str">
        <x:v>Comparing Predictive Accuracy</x:v>
      </x:c>
      <x:c r="E55" s="101" t="n">
        <x:v>1995</x:v>
      </x:c>
      <x:c r="F55" s="101" t="str">
        <x:v>Direct source for upgrading the project's DM tests to HAC-consistent standard errors when loss differentials are serially correlated.</x:v>
      </x:c>
      <x:c r="G55" s="101" t="str">
        <x:v>https://doi.org/10.1080/07350015.1995.10524599</x:v>
      </x:c>
      <x:c r="H55" s="101" t="str">
        <x:v>To verify</x:v>
      </x:c>
    </x:row>
    <x:row r="56" ht="48" customHeight="1">
      <x:c r="A56" s="101" t="n">
        <x:v>49</x:v>
      </x:c>
      <x:c r="B56" s="101" t="str">
        <x:v>Core</x:v>
      </x:c>
      <x:c r="C56" s="101" t="str">
        <x:v>VaR backtesting</x:v>
      </x:c>
      <x:c r="D56" s="101" t="str">
        <x:v>Techniques for Verifying the Accuracy of Risk Measurement Models</x:v>
      </x:c>
      <x:c r="E56" s="101" t="n">
        <x:v>1995</x:v>
      </x:c>
      <x:c r="F56" s="101" t="str">
        <x:v>Basis for the project's Kupiec unconditional coverage test.</x:v>
      </x:c>
      <x:c r="G56" s="101" t="str">
        <x:v>https://doi.org/10.3905/jod.1995.407942</x:v>
      </x:c>
      <x:c r="H56" s="101" t="str">
        <x:v>To verify</x:v>
      </x:c>
    </x:row>
    <x:row r="57" ht="48" customHeight="1">
      <x:c r="A57" s="101" t="n">
        <x:v>50</x:v>
      </x:c>
      <x:c r="B57" s="101" t="str">
        <x:v>Core</x:v>
      </x:c>
      <x:c r="C57" s="101" t="str">
        <x:v>VaR backtesting</x:v>
      </x:c>
      <x:c r="D57" s="101" t="str">
        <x:v>Evaluating Interval Forecasts</x:v>
      </x:c>
      <x:c r="E57" s="101" t="n">
        <x:v>1998</x:v>
      </x:c>
      <x:c r="F57" s="101" t="str">
        <x:v>Basis for conditional-coverage testing; especially important when extreme breaches cluster during crises.</x:v>
      </x:c>
      <x:c r="G57" s="101" t="str">
        <x:v>https://doi.org/10.2307/2527341</x:v>
      </x:c>
      <x:c r="H57" s="101" t="str">
        <x:v>To verify</x:v>
      </x:c>
    </x:row>
    <x:row r="58" ht="48" customHeight="1">
      <x:c r="A58" s="101" t="n">
        <x:v>51</x:v>
      </x:c>
      <x:c r="B58" s="101" t="str">
        <x:v>Core</x:v>
      </x:c>
      <x:c r="C58" s="101" t="str">
        <x:v>Forecast evaluation</x:v>
      </x:c>
      <x:c r="D58" s="101" t="str">
        <x:v>The Model Confidence Set</x:v>
      </x:c>
      <x:c r="E58" s="101" t="n">
        <x:v>2011</x:v>
      </x:c>
      <x:c r="F58" s="101" t="str">
        <x:v>Appropriate for our multi-model, multi-market comparison where rankings can differ by loss and crisis regime.</x:v>
      </x:c>
      <x:c r="G58" s="101" t="str">
        <x:v>https://doi.org/10.3982/ECTA5771</x:v>
      </x:c>
      <x:c r="H58" s="101" t="str">
        <x:v>To verify</x:v>
      </x:c>
    </x:row>
    <x:row r="59" ht="48" customHeight="1">
      <x:c r="A59" s="101" t="n">
        <x:v>52</x:v>
      </x:c>
      <x:c r="B59" s="101" t="str">
        <x:v>Core</x:v>
      </x:c>
      <x:c r="C59" s="101" t="str">
        <x:v>ES evaluation</x:v>
      </x:c>
      <x:c r="D59" s="101" t="str">
        <x:v>Higher Order Elicitability and Osband's Principle</x:v>
      </x:c>
      <x:c r="E59" s="101" t="n">
        <x:v>2016</x:v>
      </x:c>
      <x:c r="F59" s="101" t="str">
        <x:v>Prevents misuse of ES evaluation and underpins FZ/FZ0 joint VaR–ES scores.</x:v>
      </x:c>
      <x:c r="G59" s="101" t="str">
        <x:v>https://doi.org/10.1214/16-AOS1439</x:v>
      </x:c>
      <x:c r="H59" s="101" t="str">
        <x:v>To verify</x:v>
      </x:c>
    </x:row>
    <x:row r="60" ht="48" customHeight="1">
      <x:c r="A60" s="101" t="n">
        <x:v>53</x:v>
      </x:c>
      <x:c r="B60" s="101" t="str">
        <x:v>Supporting</x:v>
      </x:c>
      <x:c r="C60" s="101" t="str">
        <x:v>ES evaluation / QR extension</x:v>
      </x:c>
      <x:c r="D60" s="101" t="str">
        <x:v>Forecasting Value at Risk and Expected Shortfall Using a Semiparametric Approach Based on the Asymmetric Laplace Distribution</x:v>
      </x:c>
      <x:c r="E60" s="101" t="n">
        <x:v>2019</x:v>
      </x:c>
      <x:c r="F60" s="101" t="str">
        <x:v>Natural extension if the project later wants a truly three-way ES comparison including the QR family.</x:v>
      </x:c>
      <x:c r="G60" s="101" t="str">
        <x:v>https://doi.org/10.1080/07350015.2017.1281815</x:v>
      </x:c>
      <x:c r="H60" s="101" t="str">
        <x:v>To verify</x:v>
      </x:c>
    </x:row>
    <x:row r="61" ht="48" customHeight="1">
      <x:c r="A61" s="101" t="n">
        <x:v>54</x:v>
      </x:c>
      <x:c r="B61" s="101" t="str">
        <x:v>Supporting</x:v>
      </x:c>
      <x:c r="C61" s="101" t="str">
        <x:v>ES evaluation / QR extension</x:v>
      </x:c>
      <x:c r="D61" s="101" t="str">
        <x:v>Dynamic Semiparametric Models for Expected Shortfall (and Value-at-Risk)</x:v>
      </x:c>
      <x:c r="E61" s="101" t="n">
        <x:v>2019</x:v>
      </x:c>
      <x:c r="F61" s="101" t="str">
        <x:v>Important modern benchmark for how ES should be modelled if we decide to extend beyond VaR-only QR.</x:v>
      </x:c>
      <x:c r="G61" s="101" t="str">
        <x:v>https://doi.org/10.1016/j.jeconom.2018.10.008</x:v>
      </x:c>
      <x:c r="H61" s="101" t="str">
        <x:v>To verify</x:v>
      </x:c>
    </x:row>
    <x:row r="62" ht="48" customHeight="1">
      <x:c r="A62" s="101" t="n">
        <x:v>55</x:v>
      </x:c>
      <x:c r="B62" s="101" t="str">
        <x:v>Core</x:v>
      </x:c>
      <x:c r="C62" s="101" t="str">
        <x:v>Structural breaks / regimes</x:v>
      </x:c>
      <x:c r="D62" s="101" t="str">
        <x:v>Persistence in Variance, Structural Change, and the GARCH Model</x:v>
      </x:c>
      <x:c r="E62" s="101" t="n">
        <x:v>1990</x:v>
      </x:c>
      <x:c r="F62" s="101" t="str">
        <x:v>Critical caveat when interpreting our near-unit GARCH persistence and long-memory evidence.</x:v>
      </x:c>
      <x:c r="G62" s="101" t="str">
        <x:v>https://doi.org/10.1080/07350015.1990.10509794</x:v>
      </x:c>
      <x:c r="H62" s="101" t="str">
        <x:v>To verify</x:v>
      </x:c>
    </x:row>
    <x:row r="63" ht="48" customHeight="1">
      <x:c r="A63" s="101" t="n">
        <x:v>56</x:v>
      </x:c>
      <x:c r="B63" s="101" t="str">
        <x:v>Core</x:v>
      </x:c>
      <x:c r="C63" s="101" t="str">
        <x:v>Structural breaks / regimes</x:v>
      </x:c>
      <x:c r="D63" s="101" t="str">
        <x:v>Nonstationarities in Financial Time Series, the Long-Range Dependence, and the IGARCH Effects</x:v>
      </x:c>
      <x:c r="E63" s="101" t="n">
        <x:v>2004</x:v>
      </x:c>
      <x:c r="F63" s="101" t="str">
        <x:v>Supports careful wording of our GPH findings: long-memory-like behaviour may partly reflect changing volatility regimes.</x:v>
      </x:c>
      <x:c r="G63" s="101" t="str">
        <x:v>https://doi.org/10.1162/003465304323023886</x:v>
      </x:c>
      <x:c r="H63" s="101" t="str">
        <x:v>To verify</x:v>
      </x:c>
    </x:row>
    <x:row r="64" ht="48" customHeight="1">
      <x:c r="A64" s="101" t="n">
        <x:v>57</x:v>
      </x:c>
      <x:c r="B64" s="101" t="str">
        <x:v>Supporting</x:v>
      </x:c>
      <x:c r="C64" s="101" t="str">
        <x:v>Structural breaks / regimes</x:v>
      </x:c>
      <x:c r="D64" s="101" t="str">
        <x:v>Occasional Structural Breaks and Long Memory with an Application to the S&amp;P 500 Absolute Stock Returns</x:v>
      </x:c>
      <x:c r="E64" s="101" t="n">
        <x:v>2004</x:v>
      </x:c>
      <x:c r="F64" s="101" t="str">
        <x:v>Further reason not to use a GPH d estimate alone to justify an expanding estimation window.</x:v>
      </x:c>
      <x:c r="G64" s="101" t="str">
        <x:v>https://doi.org/10.1016/j.jempfin.2003.03.001</x:v>
      </x:c>
      <x:c r="H64" s="101" t="str">
        <x:v>To verify</x:v>
      </x:c>
    </x:row>
    <x:row r="65" ht="48" customHeight="1">
      <x:c r="A65" s="101" t="n">
        <x:v>58</x:v>
      </x:c>
      <x:c r="B65" s="101" t="str">
        <x:v>Core</x:v>
      </x:c>
      <x:c r="C65" s="101" t="str">
        <x:v>Structural breaks / robustness</x:v>
      </x:c>
      <x:c r="D65" s="101" t="str">
        <x:v>Selection of Estimation Window in the Presence of Breaks</x:v>
      </x:c>
      <x:c r="E65" s="101" t="n">
        <x:v>2007</x:v>
      </x:c>
      <x:c r="F65" s="101" t="str">
        <x:v>Best theoretical basis for interpreting our expanding vs fixed 2y/5y robustness as an empirical choice, not an automatic consequence of persistence.</x:v>
      </x:c>
      <x:c r="G65" s="101" t="str">
        <x:v>https://doi.org/10.1016/j.jeconom.2006.03.010</x:v>
      </x:c>
      <x:c r="H65" s="101" t="str">
        <x:v>To verify</x:v>
      </x:c>
    </x:row>
  </x:sheetData>
  <x:mergeCells>
    <x:mergeCell ref="A1:H1"/>
    <x:mergeCell ref="D2:H2"/>
    <x:mergeCell ref="D3:H3"/>
    <x:mergeCell ref="D4:H4"/>
    <x:mergeCell ref="D5:H5"/>
  </x:mergeCells>
  <x:conditionalFormatting sqref="B8:B65">
    <x:cfRule type="expression" dxfId="7" priority="1">
      <x:formula>B8="Core"</x:formula>
    </x:cfRule>
    <x:cfRule type="expression" dxfId="8" priority="2">
      <x:formula>B8="Supporting"</x:formula>
    </x:cfRule>
    <x:cfRule type="expression" dxfId="9" priority="3">
      <x:formula>B8="Comparator"</x:formula>
    </x:cfRule>
  </x:conditionalFormatting>
  <x:conditionalFormatting sqref="H8:H65">
    <x:cfRule type="expression" dxfId="10" priority="4">
      <x:formula>H8="Verified"</x:formula>
    </x:cfRule>
    <x:cfRule type="expression" dxfId="11" priority="5">
      <x:formula>H8="Needs correction"</x:formula>
    </x:cfRule>
    <x:cfRule type="expression" dxfId="12" priority="6">
      <x:formula>H8="Read in full"</x:formula>
    </x:cfRule>
  </x:conditionalFormatting>
  <x:dataValidations count="1">
    <x:dataValidation type="list" sqref="H8:H65">
      <x:formula1>"To verify,Verified,Needs correction,Read in full"</x:formula1>
    </x:dataValidation>
  </x:dataValidations>
  <x:pageMargins left="0.7" right="0.7" top="0.75" bottom="0.75" header="0.3" footer="0.3"/>
</x:worksheet>
</file>